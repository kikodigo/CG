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ad-server\compras$\ORDENS DE COMPRA\"/>
    </mc:Choice>
  </mc:AlternateContent>
  <xr:revisionPtr revIDLastSave="0" documentId="13_ncr:1_{906B7973-CE15-4B4C-BB8D-3CB0434B25A9}" xr6:coauthVersionLast="45" xr6:coauthVersionMax="45" xr10:uidLastSave="{00000000-0000-0000-0000-000000000000}"/>
  <bookViews>
    <workbookView xWindow="-120" yWindow="-120" windowWidth="20730" windowHeight="11160" xr2:uid="{57D806FD-865C-49C7-BF3D-E2E44D86ADE7}"/>
  </bookViews>
  <sheets>
    <sheet name="O.C" sheetId="7" r:id="rId1"/>
    <sheet name="Historico" sheetId="11" r:id="rId2"/>
    <sheet name="FORNECEDOR" sheetId="6" r:id="rId3"/>
    <sheet name="CONTRATOS" sheetId="10" r:id="rId4"/>
    <sheet name="Resumido_MM" sheetId="12" r:id="rId5"/>
    <sheet name="PEDIDO" sheetId="2" r:id="rId6"/>
    <sheet name="Controle_email_comprador" sheetId="9" state="hidden" r:id="rId7"/>
  </sheets>
  <functionGroups builtInGroupCount="19"/>
  <definedNames>
    <definedName name="_xlnm._FilterDatabase" localSheetId="0" hidden="1">O.C!$A$20:$K$27</definedName>
    <definedName name="_xlnm.Print_Area" localSheetId="0">O.C!$A$1:$K$43</definedName>
    <definedName name="CLIENTE_FORNECEDOR">CADASTRO_FORNECEDOR[CLIENTE]</definedName>
    <definedName name="Consulta_de_vetorh" localSheetId="3" hidden="1">CONTRATOS!$A$1:$A$158</definedName>
    <definedName name="Contratos_vetorh">Tabela_Consulta_de_vetorh[nomccu]</definedName>
    <definedName name="DadosExternos_1" localSheetId="4" hidden="1">Resumido_MM!$A$1:$D$140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7" l="1"/>
  <c r="J27" i="7" l="1"/>
  <c r="J26" i="7" l="1"/>
  <c r="J25" i="7"/>
  <c r="J24" i="7"/>
  <c r="J23" i="7"/>
  <c r="J22" i="7"/>
  <c r="K14" i="10" l="1"/>
  <c r="J21" i="7" l="1"/>
  <c r="J15" i="7" s="1"/>
  <c r="K2" i="10" l="1"/>
  <c r="K3" i="10"/>
  <c r="K4" i="10"/>
  <c r="K5" i="10"/>
  <c r="K6" i="10"/>
  <c r="K7" i="10"/>
  <c r="K8" i="10"/>
  <c r="K9" i="10"/>
  <c r="K10" i="10"/>
  <c r="K11" i="10"/>
  <c r="K12" i="10"/>
  <c r="K13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N12" i="7" l="1"/>
  <c r="M12" i="7" a="1"/>
  <c r="M12" i="7" s="1"/>
  <c r="R2" i="7" l="1"/>
  <c r="B7" i="7" l="1"/>
  <c r="A4" i="9" l="1"/>
  <c r="P1" i="7" l="1"/>
  <c r="R1" i="7"/>
  <c r="Q1" i="7" l="1"/>
  <c r="B8" i="7" l="1"/>
  <c r="J7" i="7"/>
  <c r="F15" i="7" l="1"/>
  <c r="M15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15374-6401-44C7-BA14-65273DCC11E5}" keepAlive="1" name="Consulta - Historico" description="Conexão com a consulta 'Historico' na pasta de trabalho." type="5" refreshedVersion="6" background="1" saveData="1">
    <dbPr connection="Provider=Microsoft.Mashup.OleDb.1;Data Source=$Workbook$;Location=Historico;Extended Properties=&quot;&quot;" command="SELECT * FROM [Historico]"/>
  </connection>
  <connection id="2" xr16:uid="{5FC07306-2BC8-4F83-8FF9-0609452AC00C}" name="Consulta de vetorh" type="1" refreshedVersion="6" savePassword="1" background="1" saveData="1">
    <dbPr connection="DSN=vetorh;Description=vetorh;UID=vetorh;PWD=vetorh;APP=Microsoft Office;WSID=NOTE-RODRIGO;DATABASE=vetorh;" command="SELECT r018ccu.nomccu_x000d__x000a_FROM vetorh.dbo.r018ccu r018ccu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<sst xmlns="http://schemas.openxmlformats.org/spreadsheetml/2006/main" count="845" uniqueCount="544">
  <si>
    <t>Gestervi – Gestão &amp; Terceirização de Mão de Obra EIRELI</t>
  </si>
  <si>
    <t xml:space="preserve">ORDEM DE  COMPRA </t>
  </si>
  <si>
    <t>Cliente/Fornecedor:</t>
  </si>
  <si>
    <t>Fone / Fax:</t>
  </si>
  <si>
    <t>Item</t>
  </si>
  <si>
    <t>Descrição do Produto / Serviço</t>
  </si>
  <si>
    <t>Qtd.</t>
  </si>
  <si>
    <t>Especificação</t>
  </si>
  <si>
    <t>Valor Unitário</t>
  </si>
  <si>
    <t>Valor Total</t>
  </si>
  <si>
    <t>Condições de Pagamento</t>
  </si>
  <si>
    <t>Previsão de Entrega</t>
  </si>
  <si>
    <t>OBSERVAÇÕES</t>
  </si>
  <si>
    <t>A nota fiscal  somente será aceita em conformidade com essa ordem de compra que deve conter carimbo e assinatura da GestServi no campo de autorização.</t>
  </si>
  <si>
    <t xml:space="preserve">Dados para Faturamento </t>
  </si>
  <si>
    <t>GESTSERVI GESTÃO E TERCEIRIZAÇÃO DE MÃO DE OBRA EIRELI</t>
  </si>
  <si>
    <t>CNPJ: 13.892.384-0001-46 - INSCRIÇÃO ESTADUAL: '0017972330034</t>
  </si>
  <si>
    <t>Rua Francisca Felisberta Francisca de Carvalho 442 - Santa Marta Ribeirão das  Neves CEP:3880-100</t>
  </si>
  <si>
    <t>Centro de custo/Setor - Local de entrega</t>
  </si>
  <si>
    <t>Responsável  compra</t>
  </si>
  <si>
    <t>Autorização Administrativo</t>
  </si>
  <si>
    <t>---------- Forwarded message ---------</t>
  </si>
  <si>
    <t>De: rodrigo cruz &lt;rodrigocruzjcm@gmail.com&gt;</t>
  </si>
  <si>
    <t>Date: qui, 7 de fev de 2019 às 15:24</t>
  </si>
  <si>
    <t>Subject: Lista material de limpeza</t>
  </si>
  <si>
    <t>To: Compras - Gestservi &lt;compras@gestservi.com.br&gt;</t>
  </si>
  <si>
    <t>Boa tarde !</t>
  </si>
  <si>
    <t>Segue a lista material de limpeza para os més de maio e junho de 2019.</t>
  </si>
  <si>
    <t>Papel toalha 08 pacotes com 5 unidades com 1.000 folhas  20cm x 21cm.</t>
  </si>
  <si>
    <t>Papel higiênico 05 caixa com 08 rolos 10cm x 300m.</t>
  </si>
  <si>
    <t>Saco de lixo 04 pacotes de 100 litros.</t>
  </si>
  <si>
    <t>Saco de lixo 04 pacotes de 60 litros.</t>
  </si>
  <si>
    <t>Aguá sanitária 30 litros.</t>
  </si>
  <si>
    <t>Sabão em pó 10 quilos.</t>
  </si>
  <si>
    <t>Luvas 06 pares tamanho m. </t>
  </si>
  <si>
    <t>saponáceo cremoso 01 caixa com 12 unidades 300 ml.</t>
  </si>
  <si>
    <t>saponáceo em pó 01 caixa com 12 unidades 300 ml.</t>
  </si>
  <si>
    <t>Cera incolor 20 litros.</t>
  </si>
  <si>
    <t>Desinfetante 10 litros.</t>
  </si>
  <si>
    <t>Sabonete liquido 15 litros. </t>
  </si>
  <si>
    <t>Lava louças 01 caixa 24 x 500 ml.</t>
  </si>
  <si>
    <t>Flanela 01 pacote com 10 unidades.</t>
  </si>
  <si>
    <t>Pano de limpar chão 01 pacote com 10 unidades.</t>
  </si>
  <si>
    <t>Posta papel higiênico industrial 10 unidades.</t>
  </si>
  <si>
    <t>Bombril 10 unidades.</t>
  </si>
  <si>
    <t>Vassoura de teto com alongador 05 unidades.</t>
  </si>
  <si>
    <t>Limpa vidro 10 unidades .</t>
  </si>
  <si>
    <t>Rodo grande com cabo 10 unidades.</t>
  </si>
  <si>
    <t>Vassoura de piaçava 10 unidades.</t>
  </si>
  <si>
    <t>Pano de prato 10 unidades.</t>
  </si>
  <si>
    <t>Álcool em gel 05 unidades.</t>
  </si>
  <si>
    <t>Álcool  liquido 05 unidades.</t>
  </si>
  <si>
    <t>Obs. Entregar no novo endereço Fazenda Biribiri rodovia 367 KM 624.</t>
  </si>
  <si>
    <t>Desde já agradeço a compreensão de todos.</t>
  </si>
  <si>
    <t>Att; Rodrigo cruz</t>
  </si>
  <si>
    <t>Enviar nota fiscal para: financeirocoordenacao@gestservi.com.br e compras@gestservi.com.br</t>
  </si>
  <si>
    <t>CLIENTE</t>
  </si>
  <si>
    <t>CONTATO</t>
  </si>
  <si>
    <t>TELEFONE</t>
  </si>
  <si>
    <t>E-MAIL</t>
  </si>
  <si>
    <t>CADASTRO FORNECEDOR</t>
  </si>
  <si>
    <t>Contato:</t>
  </si>
  <si>
    <t>E-Mail</t>
  </si>
  <si>
    <t>CONTRATO</t>
  </si>
  <si>
    <t>RUA</t>
  </si>
  <si>
    <t>NUMERO</t>
  </si>
  <si>
    <t>COMPLETO</t>
  </si>
  <si>
    <t>BAIRRO</t>
  </si>
  <si>
    <t>CIDADE</t>
  </si>
  <si>
    <t>ESTADO</t>
  </si>
  <si>
    <t>LOCAL</t>
  </si>
  <si>
    <t>DADOS DA COMPRA/LOCAL DE ENTREGA</t>
  </si>
  <si>
    <t>SÓ EMBALAGENS</t>
  </si>
  <si>
    <t>JULIANA</t>
  </si>
  <si>
    <t>(31) 3551-2703</t>
  </si>
  <si>
    <t>IRMÃOS OLIVEIRA</t>
  </si>
  <si>
    <t>irmaosoliveirasabara@gmail.com</t>
  </si>
  <si>
    <t>Ana</t>
  </si>
  <si>
    <t>ADM RIO POMBA</t>
  </si>
  <si>
    <t>ADM SJDR</t>
  </si>
  <si>
    <t>ANTT AGENCIA NACIONAL TRANSP TERRESTRES</t>
  </si>
  <si>
    <t>CDTN CENTRO DESENV TEC NUCLEAR</t>
  </si>
  <si>
    <t>GESTSERVI - GESTÃO TERC MÃO OBRA EIRELI</t>
  </si>
  <si>
    <t>HOSPITAL DAS CLINICAS UF TRIANGULO MIN</t>
  </si>
  <si>
    <t>IBRAM DF INSTITUTO BRASILEIRO DE MUSEUS</t>
  </si>
  <si>
    <t>IBRAM OP INSTITUTO BRASILEIRO DE MUSEUS</t>
  </si>
  <si>
    <t>IF CARMO DE MINAS</t>
  </si>
  <si>
    <t>IFECT PIRAPORA</t>
  </si>
  <si>
    <t>IFMG CL INST FED MG CONSELHEIRO LAFAIETE</t>
  </si>
  <si>
    <t>IFMG PN INST FED MG PONTE NOVA</t>
  </si>
  <si>
    <t>INCRA ES</t>
  </si>
  <si>
    <t>INST FED ED CIEN TEC SUDESTE MG MANHUAÇU</t>
  </si>
  <si>
    <t>INST FED ED CIEN TEC SUL MG CARMO MINAS</t>
  </si>
  <si>
    <t>INST FED ED CIENC TEC NORTE MG ALMENARA</t>
  </si>
  <si>
    <t>INST FED ED CIENC TEC NORTE MG ARAÇUAI</t>
  </si>
  <si>
    <t>INST FED ED CIENC TEC NORTE MG ARINOS</t>
  </si>
  <si>
    <t>INST FED ED CIENC TEC OURO BRANCO</t>
  </si>
  <si>
    <t>INST FED ED CIENC TEC SUDES MG RIO POMBA</t>
  </si>
  <si>
    <t>INST FED ED CIENC TEC SUDESTE MG MURIAE</t>
  </si>
  <si>
    <t>INST FED ED CIENC TEC SUDESTE MG SJDR</t>
  </si>
  <si>
    <t>INST FED ED CIENC TEC TRG MIN ITUIUTABA</t>
  </si>
  <si>
    <t>INST FED ED CIENC TECN MG IFECT NEVES</t>
  </si>
  <si>
    <t>INST FED EDU CIENC TECN MG IF OURO PRETO</t>
  </si>
  <si>
    <t xml:space="preserve">INST FED EDUC CIENC TEC NORTE MG DIAMANTINA </t>
  </si>
  <si>
    <t>INST NACIONAL DE COLONIZAÇÃO E REFORMA AGRARIA - INCRA</t>
  </si>
  <si>
    <t xml:space="preserve">IPHAN BH MOTORISTA CTR </t>
  </si>
  <si>
    <t>IPHAN INSTITUTO PATR HIST ART NACIONAL</t>
  </si>
  <si>
    <t>LNA LABORATORIO NACIONAL DE ASTROFISICA</t>
  </si>
  <si>
    <t>MAPA MINISTERIO DA AGRIC PEC ABASTEC MG</t>
  </si>
  <si>
    <t>PROCURADORIA DA REPUBLICA MINAS GERAIS</t>
  </si>
  <si>
    <t>SUPER REGIONAL DEPTO POLICIA FEDERAL MG</t>
  </si>
  <si>
    <t>SUPERINTENDÊNCIA DE ADM MIN FAZENDA MG</t>
  </si>
  <si>
    <t>TRE TRIBUNAL REGIONAL ELEITORAL MG</t>
  </si>
  <si>
    <t>TRIBUNAL REGIONAL ELEITORAL ES</t>
  </si>
  <si>
    <t>UFSJDR UNIV FEDERAL DE SAO JOAO DEL REI</t>
  </si>
  <si>
    <t>UNIFEI UNIVERSIDADE FEDERAL DE ITAJUBA</t>
  </si>
  <si>
    <t>UNIVERSIDADE FEDERAL DE OURO PRETO - UFOP</t>
  </si>
  <si>
    <t>UNIVERSIDADE FEDERAL DO ESPIRITO SANTO</t>
  </si>
  <si>
    <t>CONCATENADO</t>
  </si>
  <si>
    <t xml:space="preserve">Emitida em: </t>
  </si>
  <si>
    <t>Nome:</t>
  </si>
  <si>
    <t>Data:</t>
  </si>
  <si>
    <t>Motivo compra</t>
  </si>
  <si>
    <t>IBRAM  ASG CAETE CTR 28_14</t>
  </si>
  <si>
    <t>IBRAM  ASG SABARÁ CTR 28_14</t>
  </si>
  <si>
    <t>IBRAM  ASG SJDR CTR 28_14</t>
  </si>
  <si>
    <t>IBRAM OURO PRETO CTR 01_17</t>
  </si>
  <si>
    <t>IF ALMENARA CTR 07_16</t>
  </si>
  <si>
    <t>IF ARINOS CTR 12_2016</t>
  </si>
  <si>
    <t>IF CONS LAFAIETE CTR 81_15</t>
  </si>
  <si>
    <t>IF DIAMANTINA CTR 16_16</t>
  </si>
  <si>
    <t>IF DIAMANTINA CTR 16_17</t>
  </si>
  <si>
    <t>IF PIRAPORA  CTR 07_2018</t>
  </si>
  <si>
    <t>INCRA CTR 8000_17</t>
  </si>
  <si>
    <t>INCRA ES VITORIA CTR 08_18</t>
  </si>
  <si>
    <t>UFES ALEGRE CTR 70_15</t>
  </si>
  <si>
    <t>UFES SÃO MATEUS CTR 09_16</t>
  </si>
  <si>
    <t>UFSJ C STO ANTONIO  CSA CTR 118_16</t>
  </si>
  <si>
    <t>UFSJ OURO BRANCO PORT_ASG CTR 60_2017</t>
  </si>
  <si>
    <t>UFSJ S LAGOAS CTR 46_18</t>
  </si>
  <si>
    <t>UFSJ SJDR CDB  LIMPEZA CTR 051_2018</t>
  </si>
  <si>
    <t>UFSJ SJDR CSA  LIMPEZA CTR 051_2018</t>
  </si>
  <si>
    <t>UFSJ SJDR CTAN  LIMPEZA CTR 051_2018</t>
  </si>
  <si>
    <t>UNIFEI ITAJUBÁ CTR 003_17</t>
  </si>
  <si>
    <t>UNIFEI ITAJUBÁ CTR 33_17</t>
  </si>
  <si>
    <t xml:space="preserve">BUNZIL </t>
  </si>
  <si>
    <t>MICHELE</t>
  </si>
  <si>
    <t>michelle.silva@bunzlhigiene.com.br</t>
  </si>
  <si>
    <t>(31) 3328-7763</t>
  </si>
  <si>
    <t>(31) 3671-1277</t>
  </si>
  <si>
    <t xml:space="preserve">ULTIMA COMPRA </t>
  </si>
  <si>
    <t>LIMITE DE VALOR</t>
  </si>
  <si>
    <t>LIMITE DO CONTRATO</t>
  </si>
  <si>
    <t>SALDO RESTANTE</t>
  </si>
  <si>
    <t>Caso algum item desse pedido sofra alteração, informe previamente a GESTSERVI GESTÃO E TERCEIRIZAÇÃO DE MÃO DE OBRA EIRELI para analisarmos a viabilidade da alteração e possamos aprová-la previamente.</t>
  </si>
  <si>
    <t>MUSEU DO OURO</t>
  </si>
  <si>
    <t>DA INTENDENCIA</t>
  </si>
  <si>
    <t>S/N</t>
  </si>
  <si>
    <t>CENTRO</t>
  </si>
  <si>
    <t>SABARÁ</t>
  </si>
  <si>
    <t xml:space="preserve">MINAS GERAIS </t>
  </si>
  <si>
    <t>(31) 3671-1848</t>
  </si>
  <si>
    <t>ANGELO</t>
  </si>
  <si>
    <t>IBRAM</t>
  </si>
  <si>
    <t>MARECHAL TEODORO</t>
  </si>
  <si>
    <t>SÃO JOÃO DEL REI</t>
  </si>
  <si>
    <t>MG</t>
  </si>
  <si>
    <t>32 99772483</t>
  </si>
  <si>
    <t>HOSANA</t>
  </si>
  <si>
    <t>IF ALMENARA</t>
  </si>
  <si>
    <t>BR 367 KM 7</t>
  </si>
  <si>
    <t>ZONA RURAL</t>
  </si>
  <si>
    <t>ALMENARA</t>
  </si>
  <si>
    <t>(38) 3201-3090</t>
  </si>
  <si>
    <t>SIDNEY</t>
  </si>
  <si>
    <t>IF ARINOS</t>
  </si>
  <si>
    <t xml:space="preserve">RODOVIA MG 202 </t>
  </si>
  <si>
    <t>KM 407</t>
  </si>
  <si>
    <t xml:space="preserve">ARINOS </t>
  </si>
  <si>
    <t>JOAQUIM</t>
  </si>
  <si>
    <t>IF PIRAPORA</t>
  </si>
  <si>
    <t>Av. Humberto Mallard</t>
  </si>
  <si>
    <t>Santos Dumont</t>
  </si>
  <si>
    <t>PIRAPORA</t>
  </si>
  <si>
    <t>MINAS GERAIS</t>
  </si>
  <si>
    <t>(38) 3749-6950</t>
  </si>
  <si>
    <t>WANDERSON</t>
  </si>
  <si>
    <t>UFSJ</t>
  </si>
  <si>
    <t>Praça Dom Helvécio</t>
  </si>
  <si>
    <t>DOM BOSCO</t>
  </si>
  <si>
    <t>(32) 99977-2483</t>
  </si>
  <si>
    <t>Praça Frei Horlando</t>
  </si>
  <si>
    <t>Avenida Visconde do Rio Preto</t>
  </si>
  <si>
    <t>COLONIA DO BENGO</t>
  </si>
  <si>
    <t>TAMBASA</t>
  </si>
  <si>
    <t>ALEX</t>
  </si>
  <si>
    <t>(31) 9102-7170</t>
  </si>
  <si>
    <t>alextambasa@hotmail.com.br</t>
  </si>
  <si>
    <t>COFERMETA</t>
  </si>
  <si>
    <t>EVANDO</t>
  </si>
  <si>
    <t>(31) 3290-2000</t>
  </si>
  <si>
    <t>evandolima@cofermeta.com.br</t>
  </si>
  <si>
    <t>JR LIMPUS</t>
  </si>
  <si>
    <t xml:space="preserve">Thiago Rangel </t>
  </si>
  <si>
    <t>(27) 3226-8681</t>
  </si>
  <si>
    <t>thiago@jrlimpus.com.br</t>
  </si>
  <si>
    <t>MINAS RURAL</t>
  </si>
  <si>
    <t>Mª EMILIA</t>
  </si>
  <si>
    <t>(31) 3469-7000</t>
  </si>
  <si>
    <t>vendas1321@minasrural.com.br</t>
  </si>
  <si>
    <t>CIDADE CAMPO</t>
  </si>
  <si>
    <t>Claudinea</t>
  </si>
  <si>
    <t>(35)3623-4400</t>
  </si>
  <si>
    <t>claudinea@cidadecampo.com</t>
  </si>
  <si>
    <t>MULTICLEAN</t>
  </si>
  <si>
    <t>JANAÍNA</t>
  </si>
  <si>
    <t>(31) 3349 2366</t>
  </si>
  <si>
    <t>janaina@multiclean.com.br</t>
  </si>
  <si>
    <t>FERRAMENTAS NEGRÃO</t>
  </si>
  <si>
    <t>MARCELO</t>
  </si>
  <si>
    <t>(31) 8664-2120</t>
  </si>
  <si>
    <t>rep69914@represcomercial.com.br</t>
  </si>
  <si>
    <t>MERCANTIL MAQUINAS</t>
  </si>
  <si>
    <t xml:space="preserve">LOURDES </t>
  </si>
  <si>
    <t xml:space="preserve"> (31) 3271-6200</t>
  </si>
  <si>
    <t>lourdesmercantilmaquinas@gmail.com</t>
  </si>
  <si>
    <t>COMERCIAL REMOTO</t>
  </si>
  <si>
    <t>ANNE</t>
  </si>
  <si>
    <t>(31) 3292-7335</t>
  </si>
  <si>
    <t>vendas2@remotomg.com.br</t>
  </si>
  <si>
    <t xml:space="preserve">VIP SISTEMA DE HIGIENE </t>
  </si>
  <si>
    <t>CARINE DRUMOND</t>
  </si>
  <si>
    <t>(31) 4112-6836</t>
  </si>
  <si>
    <t>comercial2@vipsistemasdehigiene.com.br</t>
  </si>
  <si>
    <t>FERRAMIX</t>
  </si>
  <si>
    <t>(31) 3286-9800</t>
  </si>
  <si>
    <t>Rodrigo de Assumpção Barbosa</t>
  </si>
  <si>
    <t>ti@gestservi.com.br</t>
  </si>
  <si>
    <t>Mauro Rodrigues</t>
  </si>
  <si>
    <t>compras@gestservi.com.br</t>
  </si>
  <si>
    <t>Financeiro:</t>
  </si>
  <si>
    <t>REAUTORIZADO</t>
  </si>
  <si>
    <t>nomccu</t>
  </si>
  <si>
    <t>CREA ES</t>
  </si>
  <si>
    <t>DRF PC GUAXUPE</t>
  </si>
  <si>
    <t>DRF PC POÇOS DE CALDAS</t>
  </si>
  <si>
    <t>DRF PC SÃO SEBASTIÃO DO PARAISO</t>
  </si>
  <si>
    <t>PRT PROCURADORIA REGIONAL DO TRABALHO</t>
  </si>
  <si>
    <t>UFOP VIGIA EMERGENCIA MARIANA</t>
  </si>
  <si>
    <t>UFOP VIGIA EMERGENCIA OURO PRETO</t>
  </si>
  <si>
    <t>comercial@ortep.com.br</t>
  </si>
  <si>
    <t>Danielle Braga</t>
  </si>
  <si>
    <t>ORTEP</t>
  </si>
  <si>
    <t>(31) 3444-8300</t>
  </si>
  <si>
    <t>MADURO MECÂNICA DIESEL</t>
  </si>
  <si>
    <t>(35) 3623-7127</t>
  </si>
  <si>
    <t>maduromecanica@hotmail.com</t>
  </si>
  <si>
    <t>Tamirez</t>
  </si>
  <si>
    <t>HISTORICO DE VALOR</t>
  </si>
  <si>
    <t>(38)99239-0248</t>
  </si>
  <si>
    <t>Gestservi</t>
  </si>
  <si>
    <t>Rua Felisberta Francisca de carvalho</t>
  </si>
  <si>
    <t>Superior</t>
  </si>
  <si>
    <t>Santa Marta</t>
  </si>
  <si>
    <t>Ribeirão das Neves</t>
  </si>
  <si>
    <t>Minas Gerais</t>
  </si>
  <si>
    <t>(31)3627-3859</t>
  </si>
  <si>
    <t>OC</t>
  </si>
  <si>
    <t>FORNECEDOR</t>
  </si>
  <si>
    <t>VALOR</t>
  </si>
  <si>
    <t>10 2019 0263</t>
  </si>
  <si>
    <t>OFFICER</t>
  </si>
  <si>
    <t>10 2019 0264</t>
  </si>
  <si>
    <t>10 2019 0265</t>
  </si>
  <si>
    <t>10 2019 0266</t>
  </si>
  <si>
    <t>10 2019 0267</t>
  </si>
  <si>
    <t>10 2019 0268</t>
  </si>
  <si>
    <t>10 2019 0270</t>
  </si>
  <si>
    <t>10 2019 0271</t>
  </si>
  <si>
    <t>10 2019 0272</t>
  </si>
  <si>
    <t>10 2019 0273</t>
  </si>
  <si>
    <t>IF MONTES CLAROS - REITORIA</t>
  </si>
  <si>
    <t>MILENIUM</t>
  </si>
  <si>
    <t>10 2019 0274</t>
  </si>
  <si>
    <t>IF MONTES CLAROS - CEAD</t>
  </si>
  <si>
    <t>10 2019 0275</t>
  </si>
  <si>
    <t>10 2019 0278</t>
  </si>
  <si>
    <t>10 2019 0279</t>
  </si>
  <si>
    <t>10 2019 0280</t>
  </si>
  <si>
    <t>10 2019 0281</t>
  </si>
  <si>
    <t>10 2019 0282</t>
  </si>
  <si>
    <t>10 2019 0283</t>
  </si>
  <si>
    <t>POSTO DE GASOLINA - PETROLEO GUIMARÃES</t>
  </si>
  <si>
    <t>10 2019 0284</t>
  </si>
  <si>
    <t>VASSOURAS CAPRICHO</t>
  </si>
  <si>
    <t>10 2019 0285</t>
  </si>
  <si>
    <t>10 2019 0286</t>
  </si>
  <si>
    <t>10 2019 0287</t>
  </si>
  <si>
    <t>10 2019 0289</t>
  </si>
  <si>
    <t>SUPERMERCADOS BH</t>
  </si>
  <si>
    <t>10 2019 0290</t>
  </si>
  <si>
    <t>10 2019 0291</t>
  </si>
  <si>
    <t>CORPAL</t>
  </si>
  <si>
    <t>10 2019 0292</t>
  </si>
  <si>
    <t>10 2019 0293</t>
  </si>
  <si>
    <t>POSTO VAPABUÇU</t>
  </si>
  <si>
    <t>10 2019 0295</t>
  </si>
  <si>
    <t>11 2019 0294</t>
  </si>
  <si>
    <t>11 2019 0296</t>
  </si>
  <si>
    <t>11 2019 0297</t>
  </si>
  <si>
    <t>11 2019 0298</t>
  </si>
  <si>
    <t>11 2019 0299</t>
  </si>
  <si>
    <t xml:space="preserve">11 2019 0300 </t>
  </si>
  <si>
    <t>11 2019 0301</t>
  </si>
  <si>
    <t>11 2019 0302</t>
  </si>
  <si>
    <t xml:space="preserve">11 2019 0303 </t>
  </si>
  <si>
    <t>11 2019 0304</t>
  </si>
  <si>
    <t>11 2019 0305</t>
  </si>
  <si>
    <t>11 2019 0306</t>
  </si>
  <si>
    <t>11 2019 0307</t>
  </si>
  <si>
    <t>11 2019 0308</t>
  </si>
  <si>
    <t>11 2019 0309</t>
  </si>
  <si>
    <t>11 2019 0310</t>
  </si>
  <si>
    <t>PAPELARIA OURO BRANCO</t>
  </si>
  <si>
    <t>11 2019 0311</t>
  </si>
  <si>
    <t>APOIO MINEIRO</t>
  </si>
  <si>
    <t>11 2019 0312</t>
  </si>
  <si>
    <t>LABORATÓRIO FEDERAL DE DEFESA AGROPECUÁRIA - LACQSA</t>
  </si>
  <si>
    <t>11 2019 0313</t>
  </si>
  <si>
    <t>LABORATÓRIO FEDERAL DE DEFESA AGROPECUÁRIA - LASO</t>
  </si>
  <si>
    <t>11 2019 315</t>
  </si>
  <si>
    <t>11 2019 0314</t>
  </si>
  <si>
    <t>HIPER FAROL EIRELI</t>
  </si>
  <si>
    <t>11 2019 0319</t>
  </si>
  <si>
    <t>11 2019 0318</t>
  </si>
  <si>
    <t>11 2019 0317</t>
  </si>
  <si>
    <t>11 2019 0320</t>
  </si>
  <si>
    <t>MADURO MECANICA DIESEL</t>
  </si>
  <si>
    <t>11 2019 0322</t>
  </si>
  <si>
    <t>AGROCONSUL</t>
  </si>
  <si>
    <t>12 2019 0323</t>
  </si>
  <si>
    <t>Casa da Borracha e Parafusos</t>
  </si>
  <si>
    <t>12 2019 0324</t>
  </si>
  <si>
    <t>12 2019 0326</t>
  </si>
  <si>
    <t>12 2019 0325</t>
  </si>
  <si>
    <t>12 2019 327</t>
  </si>
  <si>
    <t>12 2019 0328</t>
  </si>
  <si>
    <t>12 2019 0329</t>
  </si>
  <si>
    <t>Motosseras e Compressores Com e Manut LTDA</t>
  </si>
  <si>
    <t>12 2019 0331</t>
  </si>
  <si>
    <t>12 2019 0332</t>
  </si>
  <si>
    <t>12 2019 0333</t>
  </si>
  <si>
    <t>BRAGATEC ASSITENCIA TECNICA</t>
  </si>
  <si>
    <t>12 2019 0334</t>
  </si>
  <si>
    <t>TECNICA EXPRESSO COMERCIO LTDA</t>
  </si>
  <si>
    <t>12 2019 0335</t>
  </si>
  <si>
    <t>12 2019 0336</t>
  </si>
  <si>
    <t>12 2019 0338</t>
  </si>
  <si>
    <t>12 2019 0339</t>
  </si>
  <si>
    <t>12 2019 0337</t>
  </si>
  <si>
    <t>12 2019 0341</t>
  </si>
  <si>
    <t xml:space="preserve">Posto combustivel </t>
  </si>
  <si>
    <t>12 2019 0342</t>
  </si>
  <si>
    <t>12 2019 0349</t>
  </si>
  <si>
    <t>12 2019 0348</t>
  </si>
  <si>
    <t>12 2019 0344</t>
  </si>
  <si>
    <t>12 2019 0346</t>
  </si>
  <si>
    <t>12 2019 0343</t>
  </si>
  <si>
    <t>12 2019 0345</t>
  </si>
  <si>
    <t>12 2019 0350</t>
  </si>
  <si>
    <t>01 2020 0003</t>
  </si>
  <si>
    <t>UNIVERSIDADE FEDERAL DE OURO PRETO - UFOP CTR 49/2019</t>
  </si>
  <si>
    <t>01 2020 0002</t>
  </si>
  <si>
    <t>01 2020 0004</t>
  </si>
  <si>
    <t xml:space="preserve">01 2020 0001 </t>
  </si>
  <si>
    <t>01 2020 0005</t>
  </si>
  <si>
    <t xml:space="preserve">01 2020 0006 </t>
  </si>
  <si>
    <t>01 2020 0007</t>
  </si>
  <si>
    <t xml:space="preserve">PAPELARIA </t>
  </si>
  <si>
    <t>01 2020 0008</t>
  </si>
  <si>
    <t xml:space="preserve"> Joyce comércio e representações</t>
  </si>
  <si>
    <t xml:space="preserve">01 01 2020 </t>
  </si>
  <si>
    <t>LUBRIMINAS</t>
  </si>
  <si>
    <t>02 01 2020</t>
  </si>
  <si>
    <t>GPJ</t>
  </si>
  <si>
    <t>03 01 2020</t>
  </si>
  <si>
    <t>01 2020 0009</t>
  </si>
  <si>
    <t>01 2020 0010</t>
  </si>
  <si>
    <t>UFSJDR UNIV FEDERAL DE SAO JOAO DEL REI 51/2018</t>
  </si>
  <si>
    <t>DEDETIZADORA SAMPAIO</t>
  </si>
  <si>
    <t>01 2020 0011</t>
  </si>
  <si>
    <t>01 2020 0013</t>
  </si>
  <si>
    <t>PAPELARIA</t>
  </si>
  <si>
    <t>01 2020 0012</t>
  </si>
  <si>
    <t>UFES SÃO MATEUS CTR 21_18</t>
  </si>
  <si>
    <t>ANTONIO LUCIANO RODRIGUES</t>
  </si>
  <si>
    <t>01 2020 0023</t>
  </si>
  <si>
    <t>Diniz Pneus</t>
  </si>
  <si>
    <t xml:space="preserve">01 2020 0022 </t>
  </si>
  <si>
    <t>01 2020 0021</t>
  </si>
  <si>
    <t>01 2020 0020</t>
  </si>
  <si>
    <t>01 2020 0014</t>
  </si>
  <si>
    <t>01 2020 0019</t>
  </si>
  <si>
    <t>01 2020 0018</t>
  </si>
  <si>
    <t>01 2020 117</t>
  </si>
  <si>
    <t>01 2020 0016</t>
  </si>
  <si>
    <t>04 01 2020</t>
  </si>
  <si>
    <t>01 2020 0024</t>
  </si>
  <si>
    <t>01 2020 0025</t>
  </si>
  <si>
    <t>01 2020 0026</t>
  </si>
  <si>
    <t>01 2020 0028</t>
  </si>
  <si>
    <t>WM MOTOSSERRAS E COMPRESSORES</t>
  </si>
  <si>
    <t>02 2020 0029</t>
  </si>
  <si>
    <t>02 2020 0031</t>
  </si>
  <si>
    <t>02 2020 0032</t>
  </si>
  <si>
    <t>02 2020 0033</t>
  </si>
  <si>
    <t xml:space="preserve">MM 02 2020 34 </t>
  </si>
  <si>
    <t>MM 02 2020 35</t>
  </si>
  <si>
    <t>MM 02 2020 36</t>
  </si>
  <si>
    <t>MM 02 2020 38</t>
  </si>
  <si>
    <t>UFSJ OURO BRANCO 87.2019</t>
  </si>
  <si>
    <t>MERCADO LIVRE</t>
  </si>
  <si>
    <t xml:space="preserve">MM 02 2020 39 </t>
  </si>
  <si>
    <t>MM 40 02 2020</t>
  </si>
  <si>
    <t>MM 41 02 2020</t>
  </si>
  <si>
    <t xml:space="preserve">MM 43 02 2020 </t>
  </si>
  <si>
    <t>LIDS</t>
  </si>
  <si>
    <t>SANDRA</t>
  </si>
  <si>
    <t>(31)2559-0731</t>
  </si>
  <si>
    <t>vendas5@lidis.com.br</t>
  </si>
  <si>
    <t>CDTN BH_UFMG CTR 04_17</t>
  </si>
  <si>
    <t>COREN MG 01_2019</t>
  </si>
  <si>
    <t>COREN MG CTR 01_19</t>
  </si>
  <si>
    <t>HC_UFTM CTR 122_15</t>
  </si>
  <si>
    <t>IBRAM  ASG DIAMANTINA CTR 28_14</t>
  </si>
  <si>
    <t>IBRAM  ASG SERRO CTR 28_14</t>
  </si>
  <si>
    <t>IBRAM  REC BH CTR 21_14</t>
  </si>
  <si>
    <t>IBRAM  REC CAETE CTR 21_14</t>
  </si>
  <si>
    <t>IBRAM  REC DIAMANTINA CTR 21_14</t>
  </si>
  <si>
    <t>IBRAM  REC SABARÁ CTR 21_14</t>
  </si>
  <si>
    <t>IBRAM  REC SERRO CTR 21_14</t>
  </si>
  <si>
    <t>IBRAM  REC SJDR CTR 21_14</t>
  </si>
  <si>
    <t>IBRAM BH_CAETE E SABARA CTR 07_2019 RECEPÇÃO</t>
  </si>
  <si>
    <t>IBRAM OURO PRETO CTR 01_13</t>
  </si>
  <si>
    <t>IBRAM SERRO  CTR 08_2019 RECEPÇÃO</t>
  </si>
  <si>
    <t>IBRAM SJDR CTR 09_2019 RECEPÇÃO</t>
  </si>
  <si>
    <t>IF ALMENARA CTR 05_17</t>
  </si>
  <si>
    <t>IF ALMENARA MOTORISTA CTR 16_19</t>
  </si>
  <si>
    <t>IF ARAÇUAI MOTORISTA CTR 08_16</t>
  </si>
  <si>
    <t>IF ARAÇUAI PORT_VIGIA CTR 07_16</t>
  </si>
  <si>
    <t>IF ARINOS CTR 14_2019 MOTORISTA</t>
  </si>
  <si>
    <t>IF ARINOS CTR 18_2017</t>
  </si>
  <si>
    <t>IF BARBACENA CTR 20_2018</t>
  </si>
  <si>
    <t>IF FORMIGA CTR 01_2018</t>
  </si>
  <si>
    <t>IF MANHUAÇU CTR 02_17</t>
  </si>
  <si>
    <t>IF MONTES CLAROS CTR 12_19</t>
  </si>
  <si>
    <t>IF OURO BRANCO CTR 01_18</t>
  </si>
  <si>
    <t>IF OURO BRANCO CTR 86_12</t>
  </si>
  <si>
    <t>IF PONTENOVA CTR 56_17</t>
  </si>
  <si>
    <t>IF RIO POMBA CTR 03_14</t>
  </si>
  <si>
    <t>IF RIO POMBA CTR 18_13</t>
  </si>
  <si>
    <t>IF RIO POMBA CTR 19_13</t>
  </si>
  <si>
    <t>IF RIO POMBA CTR 29_13</t>
  </si>
  <si>
    <t>INCRA ES VILHA VELHA CTR 08_18</t>
  </si>
  <si>
    <t>IPHAN BH RECEP 01_2015</t>
  </si>
  <si>
    <t>IPHAN CONGONHAS RECEP 01_2015</t>
  </si>
  <si>
    <t>IPHAN DIAMANTINA  RECEP 01_2015</t>
  </si>
  <si>
    <t>IPHAN MARIANA RECEP 01_2015</t>
  </si>
  <si>
    <t xml:space="preserve">LFDA_MH BH ASG </t>
  </si>
  <si>
    <t>LNA ADM CTR 76_15</t>
  </si>
  <si>
    <t>LNA JAR_COZ CTR 22_14</t>
  </si>
  <si>
    <t>LNA TEC INFORMATICA CTR 52_14</t>
  </si>
  <si>
    <t>SAMF AFONSO PENA CTR 01_16</t>
  </si>
  <si>
    <t>SAMF CENTRESAF  CTR 01_16</t>
  </si>
  <si>
    <t>SAMF CGU  CTR 01_16</t>
  </si>
  <si>
    <t>SAMF FERISTA_RESERVA</t>
  </si>
  <si>
    <t>SAMF PNF CTR 01_16</t>
  </si>
  <si>
    <t>SAMF SPU  CTR 01_16</t>
  </si>
  <si>
    <t>T.R.E  GARÇONS CTR 206_15</t>
  </si>
  <si>
    <t>T.R.E  JF  CTR 172_14</t>
  </si>
  <si>
    <t>T.R.E  MOTORISTAS  CTR 26_17</t>
  </si>
  <si>
    <t>T.R.E  MOTORISTAS  CTR 91_18 TEMPORÁRIO</t>
  </si>
  <si>
    <t>T.R.E  T. OTONI  CTR 35_15</t>
  </si>
  <si>
    <t>T.R.E  TELEDIGIFONISTAS  CTR 25_17</t>
  </si>
  <si>
    <t>T.R.E ES ASG_ALMOX CTR 20_17</t>
  </si>
  <si>
    <t>T.R.E ES DIVERSOS_ CTR 27_18</t>
  </si>
  <si>
    <t>T.R.E ES OPERADOR DE AUDIO_ CTR 33_18</t>
  </si>
  <si>
    <t>T.R.E JARDINAGEM CTR 167_13</t>
  </si>
  <si>
    <t>T.R.E N SERRANA  CTR 35_15</t>
  </si>
  <si>
    <t>UFES ADM ALEGRE CTR 20_17</t>
  </si>
  <si>
    <t>UFES ADM SÃO MATEUS CTR 20_17</t>
  </si>
  <si>
    <t>UFES ADM VITORIA_B OCEANOG CTR 20_17</t>
  </si>
  <si>
    <t>UFES ADM VITORIA_GOIABEIRAS CTR 20_17</t>
  </si>
  <si>
    <t>UFES ADM VITORIA_MARUIPE CTR 20_17</t>
  </si>
  <si>
    <t>UFES ALEGRE_JERONIMO CTR 70_15</t>
  </si>
  <si>
    <t>UFES ALEGRE_RIVER CTR 70_15</t>
  </si>
  <si>
    <t>UFES APOIO ADM 27_2018</t>
  </si>
  <si>
    <t>UFES APOIO SÃO MATEUS 43_18</t>
  </si>
  <si>
    <t>UFOP MARIANA CTR 77_16</t>
  </si>
  <si>
    <t>UFSJ 051_18 LIMPADOR DE VIDRO CTAN_CDB_CSA</t>
  </si>
  <si>
    <t>UFSJ 051_18 RESERVA ADM ASG</t>
  </si>
  <si>
    <t>UFSJ C DOM BOSCO CDB CTR 118_16</t>
  </si>
  <si>
    <t>UFSJ C TANCREDO NEVES  CTAN CTR 118_16</t>
  </si>
  <si>
    <t>UFSJ OURO BRANCO CTR 55_19 RECEPÇÃO</t>
  </si>
  <si>
    <t>UFSJ OURO BRANCO CTR 87_19 DIVERSOS</t>
  </si>
  <si>
    <t>UFSJ OURO BRANCO MOT CTR 130_13</t>
  </si>
  <si>
    <t>UFSJ RESERVA ADM  CTR 118_16</t>
  </si>
  <si>
    <t>UFSJ S LAGOAS ASG CTR 87_13</t>
  </si>
  <si>
    <t>UFSJ S LAGOAS CTR 40_2017</t>
  </si>
  <si>
    <t>UFSJ S LAGOAS LIM CTR 301_14</t>
  </si>
  <si>
    <t>UFSJ S LAGOAS OFICIAL DE MANUT  CTR 92_13</t>
  </si>
  <si>
    <t>UFSJ S LAGOAS RECEP CTR 179_15</t>
  </si>
  <si>
    <t>UFSJ SJDR CDB  LIMPEZA CTR 024_2018</t>
  </si>
  <si>
    <t>UFSJ SJDR CSA  LIMPEZA CTR 024_2018</t>
  </si>
  <si>
    <t>UFSJ SJDR CTAN  LIMPEZA CTR 024_2018</t>
  </si>
  <si>
    <t>UFSJ SJDR RESERVA ADMINISTRATIVA CTR 024_2018</t>
  </si>
  <si>
    <t>UNIFEI ITAJUBÁ MOTORISTAS CTR 29_2019</t>
  </si>
  <si>
    <t>DIVERSOS</t>
  </si>
  <si>
    <t>INK REY INFORMÁTICA E CARTUCHOS</t>
  </si>
  <si>
    <t>CHARLES</t>
  </si>
  <si>
    <t>(32) 33722267</t>
  </si>
  <si>
    <t>BAHAMAS</t>
  </si>
  <si>
    <t>(32) 2104-4821</t>
  </si>
  <si>
    <t>JOYCE LOPES SILVA</t>
  </si>
  <si>
    <t>Joyce</t>
  </si>
  <si>
    <t>33 9989-2280</t>
  </si>
  <si>
    <t>joycelopes107@gmail.com</t>
  </si>
  <si>
    <t>IVAN ELETRONICA</t>
  </si>
  <si>
    <t>(31) 3625-4434</t>
  </si>
  <si>
    <t>Ivan</t>
  </si>
  <si>
    <t>IMEDIATO</t>
  </si>
  <si>
    <t>MM 127 05 2020</t>
  </si>
  <si>
    <t>IMPLANTAÇÃO</t>
  </si>
  <si>
    <t>IMPLANTAÇÃO CONTRATO 11/2020</t>
  </si>
  <si>
    <t>LUVA VAQUETA</t>
  </si>
  <si>
    <t xml:space="preserve">LUVA PIGMENTADA </t>
  </si>
  <si>
    <t>DUZIA</t>
  </si>
  <si>
    <t xml:space="preserve">PILHA PALITO </t>
  </si>
  <si>
    <t xml:space="preserve">PILHA MÉDIA </t>
  </si>
  <si>
    <t>KIT BANHEIRO COD 26490</t>
  </si>
  <si>
    <t>UNIDADE</t>
  </si>
  <si>
    <t>28 DIAS</t>
  </si>
  <si>
    <t>GEST SERVI</t>
  </si>
  <si>
    <t xml:space="preserve">MAURO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</si>
</sst>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R$&quot;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name val="Calibri"/>
      <family val="2"/>
      <scheme val="minor"/>
    </font>
    <font>
      <u/>
      <sz val="11"/>
      <color theme="10"/>
      <name val="Calibri"/>
      <family val="2"/>
    </font>
    <font>
      <b/>
      <sz val="1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Arial"/>
      <family val="2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sz val="11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21" fillId="0" borderId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2">
    <xf numFmtId="0" fontId="0" fillId="0" borderId="0" xfId="0"/>
    <xf numFmtId="0" fontId="12" fillId="0" borderId="0" xfId="0" applyFont="1" applyAlignment="1">
      <alignment vertical="center"/>
    </xf>
    <xf numFmtId="0" fontId="6" fillId="0" borderId="0" xfId="3" applyAlignment="1" applyProtection="1">
      <alignment vertical="center"/>
    </xf>
    <xf numFmtId="0" fontId="16" fillId="0" borderId="0" xfId="0" applyFont="1" applyAlignment="1">
      <alignment vertical="center"/>
    </xf>
    <xf numFmtId="0" fontId="6" fillId="0" borderId="0" xfId="3" applyAlignment="1" applyProtection="1"/>
    <xf numFmtId="0" fontId="0" fillId="0" borderId="43" xfId="0" applyBorder="1"/>
    <xf numFmtId="0" fontId="0" fillId="0" borderId="29" xfId="0" applyBorder="1"/>
    <xf numFmtId="0" fontId="0" fillId="2" borderId="0" xfId="0" applyFont="1" applyFill="1" applyBorder="1" applyAlignment="1" applyProtection="1">
      <alignment vertical="top"/>
      <protection hidden="1"/>
    </xf>
    <xf numFmtId="0" fontId="10" fillId="2" borderId="0" xfId="0" applyFont="1" applyFill="1" applyBorder="1" applyAlignment="1" applyProtection="1">
      <alignment horizontal="center" vertical="center"/>
      <protection hidden="1"/>
    </xf>
    <xf numFmtId="14" fontId="3" fillId="2" borderId="0" xfId="0" applyNumberFormat="1" applyFont="1" applyFill="1" applyBorder="1" applyAlignment="1" applyProtection="1">
      <alignment horizontal="center" vertical="center"/>
      <protection hidden="1"/>
    </xf>
    <xf numFmtId="0" fontId="0" fillId="2" borderId="0" xfId="0" applyFont="1" applyFill="1" applyProtection="1">
      <protection locked="0"/>
    </xf>
    <xf numFmtId="44" fontId="0" fillId="0" borderId="43" xfId="2" applyFont="1" applyBorder="1"/>
    <xf numFmtId="0" fontId="7" fillId="2" borderId="0" xfId="0" applyFont="1" applyFill="1" applyBorder="1" applyAlignment="1" applyProtection="1">
      <alignment vertical="center" wrapText="1"/>
    </xf>
    <xf numFmtId="0" fontId="0" fillId="2" borderId="0" xfId="0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horizontal="center" vertical="center"/>
    </xf>
    <xf numFmtId="0" fontId="0" fillId="2" borderId="0" xfId="0" applyFont="1" applyFill="1" applyBorder="1" applyAlignment="1" applyProtection="1">
      <alignment vertical="center"/>
    </xf>
    <xf numFmtId="14" fontId="3" fillId="2" borderId="0" xfId="0" applyNumberFormat="1" applyFont="1" applyFill="1" applyBorder="1" applyAlignment="1" applyProtection="1">
      <alignment horizontal="center" vertical="center"/>
    </xf>
    <xf numFmtId="0" fontId="0" fillId="2" borderId="0" xfId="0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justify" vertical="center" wrapText="1"/>
    </xf>
    <xf numFmtId="0" fontId="12" fillId="2" borderId="0" xfId="0" applyFont="1" applyFill="1" applyBorder="1" applyAlignment="1" applyProtection="1">
      <alignment vertical="center"/>
    </xf>
    <xf numFmtId="0" fontId="11" fillId="2" borderId="0" xfId="2" applyNumberFormat="1" applyFont="1" applyFill="1" applyBorder="1" applyAlignment="1" applyProtection="1">
      <alignment horizontal="center" vertical="center" wrapText="1"/>
    </xf>
    <xf numFmtId="0" fontId="11" fillId="2" borderId="0" xfId="0" applyFont="1" applyFill="1" applyBorder="1" applyAlignment="1" applyProtection="1">
      <alignment horizontal="center" vertical="center" wrapText="1"/>
    </xf>
    <xf numFmtId="165" fontId="11" fillId="2" borderId="0" xfId="1" applyFont="1" applyFill="1" applyBorder="1" applyAlignment="1" applyProtection="1">
      <alignment horizontal="center" vertical="center" wrapText="1"/>
    </xf>
    <xf numFmtId="166" fontId="0" fillId="2" borderId="0" xfId="0" applyNumberFormat="1" applyFont="1" applyFill="1" applyBorder="1" applyAlignment="1" applyProtection="1">
      <alignment horizontal="center" vertical="center" wrapText="1"/>
    </xf>
    <xf numFmtId="0" fontId="13" fillId="2" borderId="28" xfId="0" applyFont="1" applyFill="1" applyBorder="1" applyAlignment="1" applyProtection="1">
      <alignment horizontal="center" vertical="center" wrapText="1"/>
    </xf>
    <xf numFmtId="0" fontId="14" fillId="2" borderId="0" xfId="0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2" borderId="0" xfId="2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14" fontId="0" fillId="2" borderId="0" xfId="0" applyNumberFormat="1" applyFill="1"/>
    <xf numFmtId="0" fontId="0" fillId="4" borderId="0" xfId="0" applyFill="1"/>
    <xf numFmtId="44" fontId="0" fillId="2" borderId="40" xfId="2" applyFont="1" applyFill="1" applyBorder="1"/>
    <xf numFmtId="164" fontId="0" fillId="2" borderId="40" xfId="0" applyNumberFormat="1" applyFill="1" applyBorder="1"/>
    <xf numFmtId="0" fontId="0" fillId="2" borderId="20" xfId="0" applyFill="1" applyBorder="1" applyAlignment="1" applyProtection="1">
      <alignment vertical="center"/>
    </xf>
    <xf numFmtId="0" fontId="0" fillId="2" borderId="21" xfId="0" applyFont="1" applyFill="1" applyBorder="1" applyAlignment="1" applyProtection="1">
      <alignment vertical="center"/>
    </xf>
    <xf numFmtId="0" fontId="0" fillId="2" borderId="9" xfId="0" applyFont="1" applyFill="1" applyBorder="1" applyAlignment="1" applyProtection="1">
      <alignment vertical="top"/>
      <protection hidden="1"/>
    </xf>
    <xf numFmtId="0" fontId="0" fillId="2" borderId="21" xfId="0" applyFont="1" applyFill="1" applyBorder="1" applyAlignment="1" applyProtection="1">
      <alignment vertical="top"/>
      <protection hidden="1"/>
    </xf>
    <xf numFmtId="14" fontId="3" fillId="2" borderId="11" xfId="0" applyNumberFormat="1" applyFont="1" applyFill="1" applyBorder="1" applyAlignment="1" applyProtection="1">
      <alignment horizontal="center" vertical="center"/>
      <protection hidden="1"/>
    </xf>
    <xf numFmtId="0" fontId="8" fillId="2" borderId="44" xfId="0" applyFont="1" applyFill="1" applyBorder="1" applyAlignment="1" applyProtection="1">
      <alignment horizontal="center" vertical="center" wrapText="1"/>
    </xf>
    <xf numFmtId="0" fontId="0" fillId="2" borderId="0" xfId="0" applyFill="1" applyBorder="1"/>
    <xf numFmtId="0" fontId="0" fillId="2" borderId="0" xfId="0" applyFont="1" applyFill="1" applyProtection="1"/>
    <xf numFmtId="0" fontId="0" fillId="2" borderId="0" xfId="2" applyNumberFormat="1" applyFont="1" applyFill="1" applyProtection="1"/>
    <xf numFmtId="0" fontId="0" fillId="2" borderId="0" xfId="0" applyFont="1" applyFill="1" applyAlignment="1" applyProtection="1">
      <alignment horizontal="center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2" fillId="3" borderId="40" xfId="0" applyFont="1" applyFill="1" applyBorder="1" applyAlignment="1" applyProtection="1">
      <alignment horizontal="left" vertical="center" wrapText="1"/>
    </xf>
    <xf numFmtId="0" fontId="0" fillId="3" borderId="40" xfId="0" applyFill="1" applyBorder="1" applyAlignment="1">
      <alignment horizontal="center"/>
    </xf>
    <xf numFmtId="0" fontId="0" fillId="3" borderId="40" xfId="0" applyFill="1" applyBorder="1"/>
    <xf numFmtId="0" fontId="2" fillId="3" borderId="20" xfId="0" applyFont="1" applyFill="1" applyBorder="1" applyAlignment="1" applyProtection="1">
      <alignment horizontal="center" vertical="center" wrapText="1"/>
    </xf>
    <xf numFmtId="0" fontId="2" fillId="3" borderId="21" xfId="2" applyNumberFormat="1" applyFont="1" applyFill="1" applyBorder="1" applyAlignment="1" applyProtection="1">
      <alignment horizontal="center" vertical="center" wrapText="1"/>
    </xf>
    <xf numFmtId="0" fontId="2" fillId="3" borderId="21" xfId="0" applyFont="1" applyFill="1" applyBorder="1" applyAlignment="1" applyProtection="1">
      <alignment horizontal="center" vertical="center" wrapText="1"/>
    </xf>
    <xf numFmtId="14" fontId="2" fillId="2" borderId="40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16" xfId="2" applyNumberFormat="1" applyFont="1" applyFill="1" applyBorder="1" applyAlignment="1" applyProtection="1">
      <alignment horizontal="center" vertical="center" wrapText="1"/>
      <protection locked="0"/>
    </xf>
    <xf numFmtId="0" fontId="8" fillId="2" borderId="19" xfId="2" applyNumberFormat="1" applyFont="1" applyFill="1" applyBorder="1" applyAlignment="1" applyProtection="1">
      <alignment horizontal="center" vertical="center" wrapText="1"/>
      <protection locked="0"/>
    </xf>
    <xf numFmtId="0" fontId="9" fillId="2" borderId="19" xfId="0" applyFont="1" applyFill="1" applyBorder="1" applyAlignment="1" applyProtection="1">
      <alignment horizontal="center" vertical="center" wrapText="1"/>
      <protection locked="0"/>
    </xf>
    <xf numFmtId="44" fontId="8" fillId="2" borderId="19" xfId="2" applyFont="1" applyFill="1" applyBorder="1" applyAlignment="1" applyProtection="1">
      <alignment vertical="center" wrapText="1"/>
      <protection locked="0"/>
    </xf>
    <xf numFmtId="0" fontId="0" fillId="2" borderId="40" xfId="0" applyFill="1" applyBorder="1" applyAlignment="1">
      <alignment vertical="center"/>
    </xf>
    <xf numFmtId="0" fontId="0" fillId="0" borderId="40" xfId="0" applyBorder="1" applyAlignment="1" applyProtection="1">
      <alignment vertical="top"/>
      <protection hidden="1"/>
    </xf>
    <xf numFmtId="14" fontId="3" fillId="0" borderId="40" xfId="0" applyNumberFormat="1" applyFont="1" applyBorder="1" applyAlignment="1" applyProtection="1">
      <alignment horizontal="center" vertical="center"/>
      <protection hidden="1"/>
    </xf>
    <xf numFmtId="44" fontId="0" fillId="0" borderId="0" xfId="2" applyFont="1" applyBorder="1"/>
    <xf numFmtId="44" fontId="0" fillId="0" borderId="0" xfId="2" applyFont="1"/>
    <xf numFmtId="0" fontId="0" fillId="0" borderId="0" xfId="0" applyNumberFormat="1"/>
    <xf numFmtId="7" fontId="0" fillId="2" borderId="40" xfId="2" applyNumberFormat="1" applyFont="1" applyFill="1" applyBorder="1" applyAlignment="1">
      <alignment horizontal="left" vertical="center"/>
    </xf>
    <xf numFmtId="44" fontId="8" fillId="2" borderId="16" xfId="2" applyFont="1" applyFill="1" applyBorder="1" applyAlignment="1" applyProtection="1">
      <alignment horizontal="center" vertical="center" wrapText="1"/>
      <protection locked="0"/>
    </xf>
    <xf numFmtId="0" fontId="8" fillId="2" borderId="43" xfId="2" applyNumberFormat="1" applyFont="1" applyFill="1" applyBorder="1" applyAlignment="1" applyProtection="1">
      <alignment horizontal="center" vertical="center" wrapText="1"/>
      <protection locked="0"/>
    </xf>
    <xf numFmtId="0" fontId="24" fillId="2" borderId="16" xfId="0" applyFont="1" applyFill="1" applyBorder="1" applyAlignment="1" applyProtection="1">
      <alignment horizontal="center" vertical="center" wrapText="1"/>
      <protection locked="0"/>
    </xf>
    <xf numFmtId="44" fontId="8" fillId="2" borderId="43" xfId="2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center" vertical="center" wrapText="1"/>
    </xf>
    <xf numFmtId="0" fontId="23" fillId="2" borderId="16" xfId="0" applyFont="1" applyFill="1" applyBorder="1" applyAlignment="1" applyProtection="1">
      <alignment vertical="center" wrapText="1"/>
      <protection locked="0"/>
    </xf>
    <xf numFmtId="166" fontId="8" fillId="2" borderId="36" xfId="0" applyNumberFormat="1" applyFont="1" applyFill="1" applyBorder="1" applyAlignment="1" applyProtection="1">
      <alignment horizontal="center" vertical="center" wrapText="1"/>
    </xf>
    <xf numFmtId="166" fontId="8" fillId="2" borderId="45" xfId="0" applyNumberFormat="1" applyFont="1" applyFill="1" applyBorder="1" applyAlignment="1" applyProtection="1">
      <alignment horizontal="center" vertical="center" wrapText="1"/>
    </xf>
    <xf numFmtId="0" fontId="19" fillId="3" borderId="20" xfId="0" applyFont="1" applyFill="1" applyBorder="1" applyAlignment="1" applyProtection="1">
      <alignment horizontal="center" vertical="center" wrapText="1"/>
    </xf>
    <xf numFmtId="0" fontId="19" fillId="3" borderId="21" xfId="0" applyFont="1" applyFill="1" applyBorder="1" applyAlignment="1" applyProtection="1">
      <alignment horizontal="center" vertical="center" wrapText="1"/>
    </xf>
    <xf numFmtId="0" fontId="19" fillId="3" borderId="22" xfId="0" applyFont="1" applyFill="1" applyBorder="1" applyAlignment="1" applyProtection="1">
      <alignment horizontal="center" vertical="center" wrapText="1"/>
    </xf>
    <xf numFmtId="166" fontId="3" fillId="2" borderId="23" xfId="0" applyNumberFormat="1" applyFont="1" applyFill="1" applyBorder="1" applyAlignment="1" applyProtection="1">
      <alignment horizontal="center" vertical="center" wrapText="1"/>
    </xf>
    <xf numFmtId="0" fontId="3" fillId="2" borderId="22" xfId="0" applyFont="1" applyFill="1" applyBorder="1" applyAlignment="1" applyProtection="1">
      <alignment horizontal="center" vertical="center" wrapText="1"/>
    </xf>
    <xf numFmtId="0" fontId="19" fillId="3" borderId="9" xfId="0" applyFont="1" applyFill="1" applyBorder="1" applyAlignment="1" applyProtection="1">
      <alignment horizontal="center" vertical="center" wrapText="1"/>
    </xf>
    <xf numFmtId="0" fontId="19" fillId="3" borderId="11" xfId="0" applyFont="1" applyFill="1" applyBorder="1" applyAlignment="1" applyProtection="1">
      <alignment horizontal="left" vertical="center" wrapText="1"/>
    </xf>
    <xf numFmtId="0" fontId="0" fillId="2" borderId="10" xfId="0" applyFill="1" applyBorder="1" applyAlignment="1" applyProtection="1">
      <alignment horizontal="center" vertical="center" wrapText="1"/>
    </xf>
    <xf numFmtId="0" fontId="0" fillId="2" borderId="11" xfId="0" applyFont="1" applyFill="1" applyBorder="1" applyAlignment="1" applyProtection="1">
      <alignment horizontal="center" vertical="center" wrapText="1"/>
    </xf>
    <xf numFmtId="0" fontId="2" fillId="3" borderId="42" xfId="0" applyFont="1" applyFill="1" applyBorder="1" applyAlignment="1" applyProtection="1">
      <alignment horizontal="center" vertical="center" wrapText="1"/>
    </xf>
    <xf numFmtId="0" fontId="2" fillId="3" borderId="10" xfId="0" applyFont="1" applyFill="1" applyBorder="1" applyAlignment="1" applyProtection="1">
      <alignment horizontal="center" vertical="center" wrapText="1"/>
    </xf>
    <xf numFmtId="0" fontId="2" fillId="3" borderId="23" xfId="0" applyFont="1" applyFill="1" applyBorder="1" applyAlignment="1" applyProtection="1">
      <alignment horizontal="center" vertical="center" wrapText="1"/>
    </xf>
    <xf numFmtId="0" fontId="2" fillId="3" borderId="11" xfId="0" applyFont="1" applyFill="1" applyBorder="1" applyAlignment="1" applyProtection="1">
      <alignment horizontal="center" vertical="center" wrapText="1"/>
    </xf>
    <xf numFmtId="0" fontId="3" fillId="2" borderId="42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14" fontId="3" fillId="2" borderId="42" xfId="0" applyNumberFormat="1" applyFont="1" applyFill="1" applyBorder="1" applyAlignment="1" applyProtection="1">
      <alignment horizontal="center" vertical="center"/>
    </xf>
    <xf numFmtId="14" fontId="3" fillId="2" borderId="10" xfId="0" applyNumberFormat="1" applyFont="1" applyFill="1" applyBorder="1" applyAlignment="1" applyProtection="1">
      <alignment horizontal="center" vertical="center"/>
    </xf>
    <xf numFmtId="0" fontId="10" fillId="2" borderId="42" xfId="0" applyFont="1" applyFill="1" applyBorder="1" applyAlignment="1" applyProtection="1">
      <alignment horizontal="center" vertical="center"/>
      <protection hidden="1"/>
    </xf>
    <xf numFmtId="0" fontId="10" fillId="2" borderId="23" xfId="0" applyFont="1" applyFill="1" applyBorder="1" applyAlignment="1" applyProtection="1">
      <alignment horizontal="center" vertical="center"/>
      <protection hidden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3" borderId="9" xfId="0" applyFont="1" applyFill="1" applyBorder="1" applyAlignment="1" applyProtection="1">
      <alignment horizontal="center" vertical="top"/>
      <protection hidden="1"/>
    </xf>
    <xf numFmtId="0" fontId="3" fillId="3" borderId="10" xfId="0" applyFont="1" applyFill="1" applyBorder="1" applyAlignment="1" applyProtection="1">
      <alignment horizontal="center" vertical="top"/>
      <protection hidden="1"/>
    </xf>
    <xf numFmtId="0" fontId="0" fillId="2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14" fontId="0" fillId="2" borderId="4" xfId="0" applyNumberFormat="1" applyFill="1" applyBorder="1" applyAlignment="1">
      <alignment horizontal="center"/>
    </xf>
    <xf numFmtId="0" fontId="19" fillId="2" borderId="9" xfId="0" applyFont="1" applyFill="1" applyBorder="1" applyAlignment="1" applyProtection="1">
      <alignment horizontal="center" vertical="center" wrapText="1"/>
    </xf>
    <xf numFmtId="0" fontId="19" fillId="2" borderId="10" xfId="0" applyFont="1" applyFill="1" applyBorder="1" applyAlignment="1" applyProtection="1">
      <alignment horizontal="center" vertical="center" wrapText="1"/>
    </xf>
    <xf numFmtId="0" fontId="19" fillId="2" borderId="11" xfId="0" applyFont="1" applyFill="1" applyBorder="1" applyAlignment="1" applyProtection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</xf>
    <xf numFmtId="0" fontId="2" fillId="2" borderId="10" xfId="0" applyFont="1" applyFill="1" applyBorder="1" applyAlignment="1" applyProtection="1">
      <alignment horizontal="center" vertical="center" wrapText="1"/>
    </xf>
    <xf numFmtId="0" fontId="2" fillId="2" borderId="11" xfId="0" applyFont="1" applyFill="1" applyBorder="1" applyAlignment="1" applyProtection="1">
      <alignment horizontal="center" vertical="center" wrapText="1"/>
    </xf>
    <xf numFmtId="0" fontId="14" fillId="3" borderId="12" xfId="0" applyFont="1" applyFill="1" applyBorder="1" applyAlignment="1" applyProtection="1">
      <alignment horizontal="center" vertical="center" wrapText="1"/>
    </xf>
    <xf numFmtId="0" fontId="14" fillId="3" borderId="13" xfId="0" applyFont="1" applyFill="1" applyBorder="1" applyAlignment="1" applyProtection="1">
      <alignment horizontal="center" vertical="center" wrapText="1"/>
    </xf>
    <xf numFmtId="0" fontId="14" fillId="2" borderId="13" xfId="0" applyFont="1" applyFill="1" applyBorder="1" applyAlignment="1" applyProtection="1">
      <alignment horizontal="center" vertical="center" wrapText="1"/>
      <protection locked="0"/>
    </xf>
    <xf numFmtId="0" fontId="14" fillId="2" borderId="14" xfId="0" applyFont="1" applyFill="1" applyBorder="1" applyAlignment="1" applyProtection="1">
      <alignment horizontal="center" vertical="center" wrapText="1"/>
      <protection locked="0"/>
    </xf>
    <xf numFmtId="0" fontId="14" fillId="3" borderId="18" xfId="0" applyFont="1" applyFill="1" applyBorder="1" applyAlignment="1" applyProtection="1">
      <alignment horizontal="center" vertical="center" wrapText="1"/>
    </xf>
    <xf numFmtId="0" fontId="14" fillId="3" borderId="19" xfId="0" applyFont="1" applyFill="1" applyBorder="1" applyAlignment="1" applyProtection="1">
      <alignment horizontal="center" vertical="center" wrapText="1"/>
    </xf>
    <xf numFmtId="0" fontId="14" fillId="2" borderId="19" xfId="0" applyFont="1" applyFill="1" applyBorder="1" applyAlignment="1" applyProtection="1">
      <alignment horizontal="center" vertical="center" wrapText="1"/>
    </xf>
    <xf numFmtId="0" fontId="14" fillId="2" borderId="38" xfId="0" applyFont="1" applyFill="1" applyBorder="1" applyAlignment="1" applyProtection="1">
      <alignment horizontal="center" vertical="center" wrapText="1"/>
    </xf>
    <xf numFmtId="0" fontId="14" fillId="3" borderId="30" xfId="0" applyFont="1" applyFill="1" applyBorder="1" applyAlignment="1" applyProtection="1">
      <alignment horizontal="center" vertical="center" wrapText="1"/>
    </xf>
    <xf numFmtId="0" fontId="14" fillId="3" borderId="31" xfId="0" applyFont="1" applyFill="1" applyBorder="1" applyAlignment="1" applyProtection="1">
      <alignment horizontal="center" vertical="center" wrapText="1"/>
    </xf>
    <xf numFmtId="0" fontId="14" fillId="3" borderId="41" xfId="0" applyFont="1" applyFill="1" applyBorder="1" applyAlignment="1" applyProtection="1">
      <alignment horizontal="center" vertical="center" wrapText="1"/>
    </xf>
    <xf numFmtId="0" fontId="14" fillId="3" borderId="15" xfId="0" applyFont="1" applyFill="1" applyBorder="1" applyAlignment="1" applyProtection="1">
      <alignment horizontal="center" vertical="center" wrapText="1"/>
    </xf>
    <xf numFmtId="0" fontId="14" fillId="3" borderId="16" xfId="0" applyFont="1" applyFill="1" applyBorder="1" applyAlignment="1" applyProtection="1">
      <alignment horizontal="center" vertical="center" wrapText="1"/>
    </xf>
    <xf numFmtId="0" fontId="14" fillId="2" borderId="16" xfId="0" applyFont="1" applyFill="1" applyBorder="1" applyAlignment="1" applyProtection="1">
      <alignment horizontal="center" wrapText="1"/>
    </xf>
    <xf numFmtId="0" fontId="14" fillId="2" borderId="17" xfId="0" applyFont="1" applyFill="1" applyBorder="1" applyAlignment="1" applyProtection="1">
      <alignment horizontal="center" wrapText="1"/>
    </xf>
    <xf numFmtId="0" fontId="2" fillId="3" borderId="9" xfId="0" applyFont="1" applyFill="1" applyBorder="1" applyAlignment="1" applyProtection="1">
      <alignment horizontal="left" vertical="center" wrapText="1"/>
    </xf>
    <xf numFmtId="0" fontId="2" fillId="3" borderId="10" xfId="0" applyFont="1" applyFill="1" applyBorder="1" applyAlignment="1" applyProtection="1">
      <alignment horizontal="left" vertical="center" wrapText="1"/>
    </xf>
    <xf numFmtId="0" fontId="18" fillId="2" borderId="9" xfId="0" applyFont="1" applyFill="1" applyBorder="1" applyAlignment="1" applyProtection="1">
      <alignment horizontal="center" vertical="center" wrapText="1"/>
      <protection locked="0"/>
    </xf>
    <xf numFmtId="0" fontId="18" fillId="2" borderId="10" xfId="0" applyFont="1" applyFill="1" applyBorder="1" applyAlignment="1" applyProtection="1">
      <alignment horizontal="center" vertical="center" wrapText="1"/>
      <protection locked="0"/>
    </xf>
    <xf numFmtId="0" fontId="18" fillId="2" borderId="11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14" fillId="2" borderId="0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0" fontId="2" fillId="2" borderId="9" xfId="0" applyFont="1" applyFill="1" applyBorder="1" applyAlignment="1" applyProtection="1">
      <alignment horizontal="right" vertical="center" wrapText="1"/>
    </xf>
    <xf numFmtId="0" fontId="2" fillId="2" borderId="10" xfId="0" applyFont="1" applyFill="1" applyBorder="1" applyAlignment="1" applyProtection="1">
      <alignment horizontal="right" vertical="center" wrapText="1"/>
    </xf>
    <xf numFmtId="0" fontId="5" fillId="2" borderId="2" xfId="0" applyFont="1" applyFill="1" applyBorder="1" applyAlignment="1" applyProtection="1">
      <alignment horizontal="right" vertical="center"/>
    </xf>
    <xf numFmtId="0" fontId="5" fillId="2" borderId="2" xfId="0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25" fillId="2" borderId="16" xfId="0" applyFont="1" applyFill="1" applyBorder="1" applyAlignment="1" applyProtection="1">
      <alignment vertical="center" wrapText="1"/>
      <protection locked="0"/>
    </xf>
    <xf numFmtId="0" fontId="2" fillId="2" borderId="9" xfId="0" applyFont="1" applyFill="1" applyBorder="1" applyAlignment="1" applyProtection="1">
      <alignment horizontal="center" vertical="top" wrapText="1"/>
      <protection locked="0"/>
    </xf>
    <xf numFmtId="0" fontId="2" fillId="2" borderId="10" xfId="0" applyFont="1" applyFill="1" applyBorder="1" applyAlignment="1" applyProtection="1">
      <alignment horizontal="center" vertical="top"/>
      <protection locked="0"/>
    </xf>
    <xf numFmtId="0" fontId="2" fillId="2" borderId="11" xfId="0" applyFont="1" applyFill="1" applyBorder="1" applyAlignment="1" applyProtection="1">
      <alignment horizontal="center" vertical="top"/>
      <protection locked="0"/>
    </xf>
    <xf numFmtId="0" fontId="13" fillId="2" borderId="0" xfId="0" applyFont="1" applyFill="1" applyBorder="1" applyAlignment="1" applyProtection="1">
      <alignment horizontal="left" vertical="center" wrapText="1"/>
    </xf>
    <xf numFmtId="0" fontId="13" fillId="2" borderId="0" xfId="0" applyFont="1" applyFill="1" applyBorder="1" applyAlignment="1" applyProtection="1">
      <alignment horizontal="center" vertical="center" wrapText="1"/>
    </xf>
    <xf numFmtId="0" fontId="20" fillId="3" borderId="30" xfId="0" applyFont="1" applyFill="1" applyBorder="1" applyAlignment="1" applyProtection="1">
      <alignment horizontal="center" vertical="center" wrapText="1"/>
    </xf>
    <xf numFmtId="0" fontId="20" fillId="3" borderId="31" xfId="0" applyFont="1" applyFill="1" applyBorder="1" applyAlignment="1" applyProtection="1">
      <alignment horizontal="center" vertical="center" wrapText="1"/>
    </xf>
    <xf numFmtId="0" fontId="20" fillId="3" borderId="33" xfId="0" applyFont="1" applyFill="1" applyBorder="1" applyAlignment="1" applyProtection="1">
      <alignment horizontal="center" vertical="center" wrapText="1"/>
    </xf>
    <xf numFmtId="0" fontId="20" fillId="3" borderId="34" xfId="0" applyFont="1" applyFill="1" applyBorder="1" applyAlignment="1" applyProtection="1">
      <alignment horizontal="center" vertical="center" wrapText="1"/>
    </xf>
    <xf numFmtId="0" fontId="20" fillId="3" borderId="26" xfId="0" applyFont="1" applyFill="1" applyBorder="1" applyAlignment="1" applyProtection="1">
      <alignment horizontal="center" vertical="center" wrapText="1"/>
    </xf>
    <xf numFmtId="0" fontId="20" fillId="3" borderId="27" xfId="0" applyFont="1" applyFill="1" applyBorder="1" applyAlignment="1" applyProtection="1">
      <alignment horizontal="center" vertical="center" wrapText="1"/>
    </xf>
    <xf numFmtId="0" fontId="5" fillId="2" borderId="32" xfId="0" applyFont="1" applyFill="1" applyBorder="1" applyAlignment="1" applyProtection="1">
      <alignment horizontal="left" vertical="center" wrapText="1"/>
    </xf>
    <xf numFmtId="0" fontId="5" fillId="2" borderId="2" xfId="0" applyFont="1" applyFill="1" applyBorder="1" applyAlignment="1" applyProtection="1">
      <alignment horizontal="left" vertical="center" wrapText="1"/>
    </xf>
    <xf numFmtId="0" fontId="5" fillId="2" borderId="2" xfId="0" applyFont="1" applyFill="1" applyBorder="1" applyAlignment="1" applyProtection="1">
      <alignment horizontal="center" vertical="center" wrapText="1"/>
    </xf>
    <xf numFmtId="0" fontId="5" fillId="2" borderId="3" xfId="0" applyFont="1" applyFill="1" applyBorder="1" applyAlignment="1" applyProtection="1">
      <alignment horizontal="left" vertical="center" wrapText="1"/>
    </xf>
    <xf numFmtId="0" fontId="15" fillId="2" borderId="28" xfId="0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left" vertical="center" wrapText="1"/>
    </xf>
    <xf numFmtId="0" fontId="5" fillId="2" borderId="35" xfId="0" applyFont="1" applyFill="1" applyBorder="1" applyAlignment="1" applyProtection="1">
      <alignment horizontal="left" vertical="center" wrapText="1"/>
    </xf>
    <xf numFmtId="0" fontId="5" fillId="2" borderId="7" xfId="0" applyFont="1" applyFill="1" applyBorder="1" applyAlignment="1" applyProtection="1">
      <alignment horizontal="left" vertical="center" wrapText="1"/>
    </xf>
    <xf numFmtId="0" fontId="5" fillId="2" borderId="7" xfId="0" applyFont="1" applyFill="1" applyBorder="1" applyAlignment="1" applyProtection="1">
      <alignment horizontal="center" vertical="center" wrapText="1"/>
    </xf>
    <xf numFmtId="0" fontId="5" fillId="2" borderId="8" xfId="0" applyFont="1" applyFill="1" applyBorder="1" applyAlignment="1" applyProtection="1">
      <alignment horizontal="left" vertical="center" wrapText="1"/>
    </xf>
    <xf numFmtId="0" fontId="13" fillId="2" borderId="26" xfId="0" applyFont="1" applyFill="1" applyBorder="1" applyAlignment="1" applyProtection="1">
      <alignment horizontal="left" vertical="top" wrapText="1"/>
    </xf>
    <xf numFmtId="0" fontId="0" fillId="2" borderId="27" xfId="0" applyFont="1" applyFill="1" applyBorder="1" applyAlignment="1" applyProtection="1">
      <alignment horizontal="left" wrapText="1"/>
    </xf>
    <xf numFmtId="0" fontId="0" fillId="2" borderId="27" xfId="0" applyFont="1" applyFill="1" applyBorder="1" applyAlignment="1" applyProtection="1">
      <alignment horizontal="center" wrapText="1"/>
    </xf>
    <xf numFmtId="0" fontId="0" fillId="2" borderId="39" xfId="0" applyFont="1" applyFill="1" applyBorder="1" applyAlignment="1" applyProtection="1">
      <alignment horizontal="left" wrapText="1"/>
    </xf>
    <xf numFmtId="0" fontId="10" fillId="3" borderId="9" xfId="0" applyFont="1" applyFill="1" applyBorder="1" applyAlignment="1" applyProtection="1">
      <alignment vertical="center"/>
    </xf>
    <xf numFmtId="0" fontId="10" fillId="3" borderId="10" xfId="0" applyFont="1" applyFill="1" applyBorder="1" applyAlignment="1" applyProtection="1">
      <alignment vertical="center"/>
    </xf>
    <xf numFmtId="0" fontId="10" fillId="3" borderId="11" xfId="0" applyFont="1" applyFill="1" applyBorder="1" applyAlignment="1" applyProtection="1">
      <alignment vertical="center"/>
    </xf>
    <xf numFmtId="0" fontId="2" fillId="2" borderId="9" xfId="0" applyFont="1" applyFill="1" applyBorder="1" applyAlignment="1" applyProtection="1">
      <alignment horizontal="left" vertical="center" wrapText="1"/>
      <protection locked="0"/>
    </xf>
    <xf numFmtId="0" fontId="2" fillId="2" borderId="10" xfId="0" applyFont="1" applyFill="1" applyBorder="1" applyAlignment="1" applyProtection="1">
      <alignment horizontal="left" vertical="center" wrapText="1"/>
      <protection locked="0"/>
    </xf>
    <xf numFmtId="0" fontId="2" fillId="2" borderId="11" xfId="0" applyFont="1" applyFill="1" applyBorder="1" applyAlignment="1" applyProtection="1">
      <alignment horizontal="left" vertical="center" wrapText="1"/>
      <protection locked="0"/>
    </xf>
    <xf numFmtId="0" fontId="0" fillId="2" borderId="0" xfId="0" applyFont="1" applyFill="1" applyProtection="1"/>
    <xf numFmtId="0" fontId="0" fillId="2" borderId="0" xfId="0" applyFont="1" applyFill="1" applyAlignment="1" applyProtection="1">
      <alignment horizontal="center"/>
    </xf>
    <xf numFmtId="0" fontId="2" fillId="3" borderId="11" xfId="0" applyFont="1" applyFill="1" applyBorder="1" applyAlignment="1" applyProtection="1">
      <alignment horizontal="left" vertical="center" wrapText="1"/>
    </xf>
    <xf numFmtId="0" fontId="13" fillId="2" borderId="4" xfId="0" applyFont="1" applyFill="1" applyBorder="1" applyAlignment="1" applyProtection="1">
      <alignment horizontal="left" vertical="center" wrapText="1"/>
    </xf>
    <xf numFmtId="0" fontId="13" fillId="2" borderId="5" xfId="0" applyFont="1" applyFill="1" applyBorder="1" applyAlignment="1" applyProtection="1">
      <alignment horizontal="left" vertical="center" wrapText="1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10" xfId="0" applyFont="1" applyFill="1" applyBorder="1" applyAlignment="1" applyProtection="1">
      <alignment horizontal="center" vertical="center"/>
    </xf>
    <xf numFmtId="0" fontId="9" fillId="2" borderId="37" xfId="0" applyFont="1" applyFill="1" applyBorder="1" applyAlignment="1" applyProtection="1">
      <alignment horizontal="left" vertical="center" wrapText="1"/>
      <protection locked="0"/>
    </xf>
    <xf numFmtId="0" fontId="9" fillId="2" borderId="24" xfId="0" applyFont="1" applyFill="1" applyBorder="1" applyAlignment="1" applyProtection="1">
      <alignment horizontal="left" vertical="center" wrapText="1"/>
      <protection locked="0"/>
    </xf>
    <xf numFmtId="0" fontId="9" fillId="2" borderId="25" xfId="0" applyFont="1" applyFill="1" applyBorder="1" applyAlignment="1" applyProtection="1">
      <alignment horizontal="left" vertical="center" wrapText="1"/>
      <protection locked="0"/>
    </xf>
    <xf numFmtId="0" fontId="17" fillId="3" borderId="0" xfId="0" applyFont="1" applyFill="1" applyAlignment="1">
      <alignment horizontal="center" vertical="center"/>
    </xf>
    <xf numFmtId="166" fontId="0" fillId="2" borderId="0" xfId="0" applyNumberFormat="1" applyFill="1"/>
    <xf numFmtId="44" fontId="0" fillId="2" borderId="0" xfId="2" applyFont="1" applyFill="1" applyProtection="1"/>
  </cellXfs>
  <cellStyles count="7">
    <cellStyle name="Hiperlink" xfId="3" builtinId="8"/>
    <cellStyle name="Moeda" xfId="2" builtinId="4"/>
    <cellStyle name="Moeda 2" xfId="6" xr:uid="{A9389858-6EBB-4861-808D-73562845335F}"/>
    <cellStyle name="Normal" xfId="0" builtinId="0"/>
    <cellStyle name="Normal 2 2" xfId="4" xr:uid="{074C840B-4F8B-4A3E-BAA5-AC58CA81D10B}"/>
    <cellStyle name="Vírgula" xfId="1" builtinId="3"/>
    <cellStyle name="Vírgula 2" xfId="5" xr:uid="{135F8294-5569-4E05-9399-01EBA7811ECB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alignment horizontal="general" vertical="bottom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16</xdr:row>
      <xdr:rowOff>47625</xdr:rowOff>
    </xdr:from>
    <xdr:to>
      <xdr:col>5</xdr:col>
      <xdr:colOff>514350</xdr:colOff>
      <xdr:row>16</xdr:row>
      <xdr:rowOff>314325</xdr:rowOff>
    </xdr:to>
    <xdr:sp macro="[0]!senhacompr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627F34B-B2AB-4FB5-A883-4E205F71293B}"/>
            </a:ext>
          </a:extLst>
        </xdr:cNvPr>
        <xdr:cNvSpPr/>
      </xdr:nvSpPr>
      <xdr:spPr>
        <a:xfrm>
          <a:off x="4333875" y="16544925"/>
          <a:ext cx="1171575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Assinar</a:t>
          </a:r>
        </a:p>
      </xdr:txBody>
    </xdr:sp>
    <xdr:clientData/>
  </xdr:twoCellAnchor>
  <xdr:twoCellAnchor>
    <xdr:from>
      <xdr:col>9</xdr:col>
      <xdr:colOff>571500</xdr:colOff>
      <xdr:row>16</xdr:row>
      <xdr:rowOff>47625</xdr:rowOff>
    </xdr:from>
    <xdr:to>
      <xdr:col>10</xdr:col>
      <xdr:colOff>971550</xdr:colOff>
      <xdr:row>16</xdr:row>
      <xdr:rowOff>314325</xdr:rowOff>
    </xdr:to>
    <xdr:sp macro="[0]!senhagerenci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A536BCA-390C-40B6-B489-7E9957B10A44}"/>
            </a:ext>
          </a:extLst>
        </xdr:cNvPr>
        <xdr:cNvSpPr/>
      </xdr:nvSpPr>
      <xdr:spPr>
        <a:xfrm>
          <a:off x="8839200" y="16544925"/>
          <a:ext cx="10096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Assinar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409575</xdr:colOff>
      <xdr:row>75</xdr:row>
      <xdr:rowOff>123825</xdr:rowOff>
    </xdr:to>
    <xdr:pic>
      <xdr:nvPicPr>
        <xdr:cNvPr id="2049" name="Picture 1">
          <a:extLst>
            <a:ext uri="{FF2B5EF4-FFF2-40B4-BE49-F238E27FC236}">
              <a16:creationId xmlns:a16="http://schemas.microsoft.com/office/drawing/2014/main" id="{73BEE422-BAED-43B8-B87F-50EA57164F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163175" cy="14411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 vetorh" connectionId="2" xr16:uid="{80A9F277-6349-4B66-85A4-0BC3997142D9}" autoFormatId="16" applyNumberFormats="0" applyBorderFormats="0" applyFontFormats="0" applyPatternFormats="0" applyAlignmentFormats="0" applyWidthHeightFormats="0">
  <queryTableRefresh nextId="13" unboundColumnsRight="11">
    <queryTableFields count="12">
      <queryTableField id="1" name="nomccu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908F4EC-8C88-4CEA-9715-36A8C820D44C}" autoFormatId="16" applyNumberFormats="0" applyBorderFormats="0" applyFontFormats="0" applyPatternFormats="0" applyAlignmentFormats="0" applyWidthHeightFormats="0">
  <queryTableRefresh nextId="5">
    <queryTableFields count="4">
      <queryTableField id="1" name="OC" tableColumnId="1"/>
      <queryTableField id="2" name="CONTRATO" tableColumnId="2"/>
      <queryTableField id="3" name="FORNECEDOR" tableColumnId="3"/>
      <queryTableField id="4" name="VALOR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B4938-EB11-4B4C-AF4E-126CC084A210}" name="CADASTRO_FORNECEDOR" displayName="CADASTRO_FORNECEDOR" ref="A2:D23" totalsRowShown="0">
  <autoFilter ref="A2:D23" xr:uid="{E20A29EE-228C-4271-BCC6-8D32BA2B1020}"/>
  <sortState xmlns:xlrd2="http://schemas.microsoft.com/office/spreadsheetml/2017/richdata2" ref="A3:D23">
    <sortCondition ref="A2:A23"/>
  </sortState>
  <tableColumns count="4">
    <tableColumn id="1" xr3:uid="{043FDC0B-B690-495B-8BB9-6AA2C0EB7B4D}" name="CLIENTE"/>
    <tableColumn id="2" xr3:uid="{089C0F6B-DD8C-438E-BEB5-E45AB654F047}" name="CONTATO"/>
    <tableColumn id="3" xr3:uid="{F5BFB4ED-30D4-438F-8144-D94CF80708EF}" name="TELEFONE"/>
    <tableColumn id="4" xr3:uid="{4378B32D-0769-489C-A9B1-26606C7C402D}" name="E-MAIL" dataDxfId="13" dataCellStyle="Hiperlink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DFB519-009A-47B8-AB6B-AB4EE02DD78F}" name="Tabela_Consulta_de_vetorh" displayName="Tabela_Consulta_de_vetorh" ref="A1:L158" tableType="queryTable" totalsRowShown="0">
  <autoFilter ref="A1:L158" xr:uid="{CB40DB92-1F8B-4160-ABCD-009FAE32588D}"/>
  <sortState xmlns:xlrd2="http://schemas.microsoft.com/office/spreadsheetml/2017/richdata2" ref="A2:L158">
    <sortCondition ref="A1:A158"/>
  </sortState>
  <tableColumns count="12">
    <tableColumn id="1" xr3:uid="{D53F0B06-3A27-4B9C-AFC2-27B3E8806F4B}" uniqueName="1" name="nomccu" queryTableFieldId="1"/>
    <tableColumn id="2" xr3:uid="{9E80BBAD-0019-4264-8632-18508915408F}" uniqueName="2" name="LOCAL" queryTableFieldId="2"/>
    <tableColumn id="3" xr3:uid="{548000DD-4D3F-4BDC-A4D8-E9ECC4FE9806}" uniqueName="3" name="RUA" queryTableFieldId="3"/>
    <tableColumn id="4" xr3:uid="{82A532EF-F7E8-4FDE-B64B-5C249B0225CE}" uniqueName="4" name="NUMERO" queryTableFieldId="4"/>
    <tableColumn id="5" xr3:uid="{658C3724-6A76-4FFB-B875-A2A65AD9F567}" uniqueName="5" name="COMPLETO" queryTableFieldId="5"/>
    <tableColumn id="6" xr3:uid="{D5F5339D-9A5B-4A8D-B5FB-19583F32CB5E}" uniqueName="6" name="BAIRRO" queryTableFieldId="6"/>
    <tableColumn id="7" xr3:uid="{7A055009-F98C-4777-AF72-6B15913986C6}" uniqueName="7" name="CIDADE" queryTableFieldId="7"/>
    <tableColumn id="8" xr3:uid="{0282BA73-00EF-4449-A53D-566EFF3B8BC2}" uniqueName="8" name="ESTADO" queryTableFieldId="8"/>
    <tableColumn id="9" xr3:uid="{75B23D07-09F7-4CD2-9CD7-566BE87B341D}" uniqueName="9" name="TELEFONE" queryTableFieldId="9"/>
    <tableColumn id="10" xr3:uid="{387595C9-8EE4-4075-96F4-55087451B2C0}" uniqueName="10" name="CONTATO" queryTableFieldId="10"/>
    <tableColumn id="11" xr3:uid="{AAA32D48-860F-41FF-A2E2-504BD30575E1}" uniqueName="11" name="CONCATENADO" queryTableFieldId="11" dataDxfId="12">
      <calculatedColumnFormula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calculatedColumnFormula>
    </tableColumn>
    <tableColumn id="12" xr3:uid="{9B2F5E00-13BD-401A-BAB2-6B027951B21F}" uniqueName="12" name="LIMITE DE VALOR" queryTableFieldId="12" dataDxfId="11" dataCellStyle="Mo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6FA5282-957B-46F9-BBE0-2172FFB16856}" name="Historico" displayName="Historico" ref="A1:D140" tableType="queryTable" totalsRowShown="0">
  <autoFilter ref="A1:D140" xr:uid="{28DBF9C9-BD5A-4DFE-A7A9-45DD211E5D1D}"/>
  <tableColumns count="4">
    <tableColumn id="1" xr3:uid="{BDAFA730-4F3A-4D53-8B32-CD78565CFE65}" uniqueName="1" name="OC" queryTableFieldId="1" dataDxfId="10"/>
    <tableColumn id="2" xr3:uid="{D2973093-A0D0-4BFE-A1C2-786C33FD3970}" uniqueName="2" name="CONTRATO" queryTableFieldId="2" dataDxfId="9"/>
    <tableColumn id="3" xr3:uid="{05020876-D376-4C89-B8B4-DD9CE9CDCFFB}" uniqueName="3" name="FORNECEDOR" queryTableFieldId="3" dataDxfId="8"/>
    <tableColumn id="4" xr3:uid="{8814D99D-FB51-496D-B62B-43A030638792}" uniqueName="4" name="VALOR" queryTableFieldId="4" dataDxfId="7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janaina@multiclean.com.br" TargetMode="External"/><Relationship Id="rId13" Type="http://schemas.openxmlformats.org/officeDocument/2006/relationships/hyperlink" Target="mailto:comercial@ortep.com.br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alextambasa@hotmail.com.br" TargetMode="External"/><Relationship Id="rId7" Type="http://schemas.openxmlformats.org/officeDocument/2006/relationships/hyperlink" Target="mailto:claudinea@cidadecampo.com" TargetMode="External"/><Relationship Id="rId12" Type="http://schemas.openxmlformats.org/officeDocument/2006/relationships/hyperlink" Target="mailto:comercial2@vipsistemasdehigiene.com.br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mailto:michelle.silva@bunzlhigiene.com.br" TargetMode="External"/><Relationship Id="rId16" Type="http://schemas.openxmlformats.org/officeDocument/2006/relationships/hyperlink" Target="mailto:joycelopes107@gmail.com" TargetMode="External"/><Relationship Id="rId1" Type="http://schemas.openxmlformats.org/officeDocument/2006/relationships/hyperlink" Target="mailto:irmaosoliveirasabara@gmail.com" TargetMode="External"/><Relationship Id="rId6" Type="http://schemas.openxmlformats.org/officeDocument/2006/relationships/hyperlink" Target="mailto:vendas1321@minasrural.com.br" TargetMode="External"/><Relationship Id="rId11" Type="http://schemas.openxmlformats.org/officeDocument/2006/relationships/hyperlink" Target="mailto:vendas2@remotomg.com.br" TargetMode="External"/><Relationship Id="rId5" Type="http://schemas.openxmlformats.org/officeDocument/2006/relationships/hyperlink" Target="mailto:thiago@jrlimpus.com.br" TargetMode="External"/><Relationship Id="rId15" Type="http://schemas.openxmlformats.org/officeDocument/2006/relationships/hyperlink" Target="mailto:vendas5@lidis.com.br" TargetMode="External"/><Relationship Id="rId10" Type="http://schemas.openxmlformats.org/officeDocument/2006/relationships/hyperlink" Target="mailto:lourdesmercantilmaquinas@gmail.com" TargetMode="External"/><Relationship Id="rId4" Type="http://schemas.openxmlformats.org/officeDocument/2006/relationships/hyperlink" Target="mailto:evandolima@cofermeta.com.br" TargetMode="External"/><Relationship Id="rId9" Type="http://schemas.openxmlformats.org/officeDocument/2006/relationships/hyperlink" Target="mailto:rep69914@represcomercial.com.br" TargetMode="External"/><Relationship Id="rId14" Type="http://schemas.openxmlformats.org/officeDocument/2006/relationships/hyperlink" Target="mailto:maduromecanica@hot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compras@gestservi.com.br" TargetMode="External"/><Relationship Id="rId1" Type="http://schemas.openxmlformats.org/officeDocument/2006/relationships/hyperlink" Target="mailto:rodrigocruzjcm@gmail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compras@gestservi.com.br" TargetMode="External"/><Relationship Id="rId1" Type="http://schemas.openxmlformats.org/officeDocument/2006/relationships/hyperlink" Target="mailto:ti@gestservi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D1B4-D4A0-450D-8C7B-88DE6074CD8E}">
  <sheetPr codeName="Planilha4">
    <tabColor rgb="FF00B050"/>
    <pageSetUpPr fitToPage="1"/>
  </sheetPr>
  <dimension ref="A1:R52"/>
  <sheetViews>
    <sheetView tabSelected="1" topLeftCell="A3" workbookViewId="0">
      <selection activeCell="M24" sqref="M24"/>
    </sheetView>
  </sheetViews>
  <sheetFormatPr defaultRowHeight="15" x14ac:dyDescent="0.25"/>
  <cols>
    <col min="1" max="1" width="11" style="43" customWidth="1"/>
    <col min="2" max="2" width="40.5703125" style="43" customWidth="1"/>
    <col min="3" max="3" width="9.140625" style="43"/>
    <col min="4" max="4" width="10.5703125" style="43" bestFit="1" customWidth="1"/>
    <col min="5" max="5" width="6.85546875" style="43" customWidth="1"/>
    <col min="6" max="6" width="8.42578125" style="43" bestFit="1" customWidth="1"/>
    <col min="7" max="7" width="8.42578125" style="43" customWidth="1"/>
    <col min="8" max="8" width="21.42578125" style="44" bestFit="1" customWidth="1"/>
    <col min="9" max="9" width="13" style="43" customWidth="1"/>
    <col min="10" max="10" width="9.140625" style="43"/>
    <col min="11" max="11" width="15.140625" style="43" bestFit="1" customWidth="1"/>
    <col min="12" max="12" width="0.85546875" style="28" customWidth="1"/>
    <col min="13" max="13" width="19.42578125" style="28" customWidth="1"/>
    <col min="14" max="14" width="20.42578125" style="28" bestFit="1" customWidth="1"/>
    <col min="15" max="16384" width="9.140625" style="28"/>
  </cols>
  <sheetData>
    <row r="1" spans="1:18" ht="24" thickBot="1" x14ac:dyDescent="0.3">
      <c r="A1" s="127" t="s">
        <v>0</v>
      </c>
      <c r="B1" s="128"/>
      <c r="C1" s="128"/>
      <c r="D1" s="128"/>
      <c r="E1" s="129"/>
      <c r="F1" s="136" t="s">
        <v>1</v>
      </c>
      <c r="G1" s="136"/>
      <c r="H1" s="136"/>
      <c r="I1" s="136"/>
      <c r="J1" s="136"/>
      <c r="K1" s="137"/>
      <c r="L1" s="95"/>
      <c r="M1" s="96"/>
      <c r="P1" s="28" t="str">
        <f>IF(MONTH(K3)&gt;=10,MONTH(K3),CONCATENATE("0",MONTH(K3)))</f>
        <v>05</v>
      </c>
      <c r="Q1" s="28">
        <f>YEAR(K3)</f>
        <v>2020</v>
      </c>
      <c r="R1" s="28" t="str">
        <f>CONCATENATE("A1",":","K",ROW($K$28))</f>
        <v>A1:K28</v>
      </c>
    </row>
    <row r="2" spans="1:18" ht="16.5" customHeight="1" thickBot="1" x14ac:dyDescent="0.3">
      <c r="A2" s="130"/>
      <c r="B2" s="131"/>
      <c r="C2" s="131"/>
      <c r="D2" s="131"/>
      <c r="E2" s="132"/>
      <c r="F2" s="142" t="s">
        <v>531</v>
      </c>
      <c r="G2" s="143"/>
      <c r="H2" s="143"/>
      <c r="I2" s="143"/>
      <c r="J2" s="143"/>
      <c r="K2" s="144"/>
      <c r="L2" s="29"/>
      <c r="R2" s="28" t="str">
        <f>CONCATENATE("A1",":","K",ROW($K$43))</f>
        <v>A1:K43</v>
      </c>
    </row>
    <row r="3" spans="1:18" ht="16.5" customHeight="1" thickBot="1" x14ac:dyDescent="0.3">
      <c r="A3" s="133"/>
      <c r="B3" s="134"/>
      <c r="C3" s="134"/>
      <c r="D3" s="134"/>
      <c r="E3" s="135"/>
      <c r="F3" s="138" t="s">
        <v>119</v>
      </c>
      <c r="G3" s="139"/>
      <c r="H3" s="102"/>
      <c r="I3" s="139"/>
      <c r="J3" s="139"/>
      <c r="K3" s="51">
        <v>43972</v>
      </c>
      <c r="L3" s="97"/>
      <c r="M3" s="96"/>
    </row>
    <row r="4" spans="1:18" ht="6" customHeight="1" thickBot="1" x14ac:dyDescent="0.3">
      <c r="A4" s="140"/>
      <c r="B4" s="140"/>
      <c r="C4" s="140"/>
      <c r="D4" s="140"/>
      <c r="E4" s="140"/>
      <c r="F4" s="140"/>
      <c r="G4" s="140"/>
      <c r="H4" s="141"/>
      <c r="I4" s="140"/>
      <c r="J4" s="140"/>
      <c r="K4" s="140"/>
    </row>
    <row r="5" spans="1:18" s="10" customFormat="1" ht="30.75" customHeight="1" thickBot="1" x14ac:dyDescent="0.3">
      <c r="A5" s="119" t="s">
        <v>2</v>
      </c>
      <c r="B5" s="120"/>
      <c r="C5" s="121" t="s">
        <v>194</v>
      </c>
      <c r="D5" s="122"/>
      <c r="E5" s="122"/>
      <c r="F5" s="122"/>
      <c r="G5" s="122"/>
      <c r="H5" s="122"/>
      <c r="I5" s="122"/>
      <c r="J5" s="122"/>
      <c r="K5" s="123"/>
    </row>
    <row r="6" spans="1:18" s="10" customFormat="1" ht="6" customHeight="1" thickBot="1" x14ac:dyDescent="0.3">
      <c r="A6" s="124"/>
      <c r="B6" s="124"/>
      <c r="C6" s="124"/>
      <c r="D6" s="124"/>
      <c r="E6" s="124"/>
      <c r="F6" s="124"/>
      <c r="G6" s="124"/>
      <c r="H6" s="125"/>
      <c r="I6" s="124"/>
      <c r="J6" s="124"/>
      <c r="K6" s="124"/>
    </row>
    <row r="7" spans="1:18" s="10" customFormat="1" ht="28.5" customHeight="1" thickBot="1" x14ac:dyDescent="0.3">
      <c r="A7" s="45" t="s">
        <v>61</v>
      </c>
      <c r="B7" s="98" t="str">
        <f>IFERROR(IF(VLOOKUP(C5,FORNECEDOR!A:D,2,0)=0," ",IFERROR(VLOOKUP(C5,FORNECEDOR!A:D,2,0)," "))," ")</f>
        <v>ALEX</v>
      </c>
      <c r="C7" s="99"/>
      <c r="D7" s="99"/>
      <c r="E7" s="99"/>
      <c r="F7" s="99"/>
      <c r="G7" s="100"/>
      <c r="H7" s="76" t="s">
        <v>3</v>
      </c>
      <c r="I7" s="77"/>
      <c r="J7" s="78" t="str">
        <f>IFERROR(IF(VLOOKUP(C5,FORNECEDOR!A:D,3,0)=0," ",IFERROR(VLOOKUP(C5,FORNECEDOR!A:D,3,0)," ")),"")</f>
        <v>(31) 9102-7170</v>
      </c>
      <c r="K7" s="79"/>
    </row>
    <row r="8" spans="1:18" s="10" customFormat="1" ht="28.5" customHeight="1" thickBot="1" x14ac:dyDescent="0.3">
      <c r="A8" s="45" t="s">
        <v>62</v>
      </c>
      <c r="B8" s="101" t="str">
        <f>IFERROR(IF(VLOOKUP(C5,FORNECEDOR!A:D,4,0)=0," ",IFERROR(VLOOKUP(C5,FORNECEDOR!A:D,4,0)," "))," ")</f>
        <v>alextambasa@hotmail.com.br</v>
      </c>
      <c r="C8" s="102"/>
      <c r="D8" s="102"/>
      <c r="E8" s="102"/>
      <c r="F8" s="102"/>
      <c r="G8" s="102"/>
      <c r="H8" s="102"/>
      <c r="I8" s="102"/>
      <c r="J8" s="102"/>
      <c r="K8" s="103"/>
    </row>
    <row r="9" spans="1:18" ht="6" customHeight="1" thickBot="1" x14ac:dyDescent="0.3">
      <c r="A9" s="12"/>
      <c r="B9" s="12"/>
      <c r="C9" s="12"/>
      <c r="D9" s="12"/>
      <c r="E9" s="12"/>
      <c r="F9" s="12"/>
      <c r="G9" s="12"/>
      <c r="H9" s="67"/>
      <c r="I9" s="12"/>
      <c r="J9" s="12"/>
      <c r="K9" s="12"/>
    </row>
    <row r="10" spans="1:18" ht="15.75" thickBot="1" x14ac:dyDescent="0.3">
      <c r="A10" s="112" t="s">
        <v>71</v>
      </c>
      <c r="B10" s="113"/>
      <c r="C10" s="113"/>
      <c r="D10" s="113"/>
      <c r="E10" s="113"/>
      <c r="F10" s="113"/>
      <c r="G10" s="113"/>
      <c r="H10" s="113"/>
      <c r="I10" s="113"/>
      <c r="J10" s="113"/>
      <c r="K10" s="114"/>
    </row>
    <row r="11" spans="1:18" ht="15.75" thickBot="1" x14ac:dyDescent="0.3">
      <c r="A11" s="104" t="s">
        <v>63</v>
      </c>
      <c r="B11" s="105"/>
      <c r="C11" s="106" t="s">
        <v>83</v>
      </c>
      <c r="D11" s="106"/>
      <c r="E11" s="106"/>
      <c r="F11" s="106"/>
      <c r="G11" s="106"/>
      <c r="H11" s="106"/>
      <c r="I11" s="106"/>
      <c r="J11" s="106"/>
      <c r="K11" s="107"/>
      <c r="M11" s="46" t="s">
        <v>150</v>
      </c>
      <c r="N11" s="47" t="s">
        <v>152</v>
      </c>
    </row>
    <row r="12" spans="1:18" ht="28.5" customHeight="1" thickBot="1" x14ac:dyDescent="0.3">
      <c r="A12" s="115" t="s">
        <v>18</v>
      </c>
      <c r="B12" s="116"/>
      <c r="C12" s="117" t="s">
        <v>533</v>
      </c>
      <c r="D12" s="117"/>
      <c r="E12" s="117"/>
      <c r="F12" s="117"/>
      <c r="G12" s="117"/>
      <c r="H12" s="117"/>
      <c r="I12" s="117"/>
      <c r="J12" s="117"/>
      <c r="K12" s="118"/>
      <c r="M12" s="31" t="e" cm="1">
        <f t="array" ref="M12">LOOKUP(2,1/(Resumido_MM!B:B=O.C!C11),Resumido_MM!D:D)</f>
        <v>#N/A</v>
      </c>
      <c r="N12" s="31">
        <f>IFERROR(VLOOKUP(C11,CONTRATOS!A:L,12,0),"")</f>
        <v>0</v>
      </c>
    </row>
    <row r="13" spans="1:18" ht="15" customHeight="1" thickBot="1" x14ac:dyDescent="0.3">
      <c r="A13" s="108" t="s">
        <v>122</v>
      </c>
      <c r="B13" s="109"/>
      <c r="C13" s="110" t="s">
        <v>532</v>
      </c>
      <c r="D13" s="110"/>
      <c r="E13" s="110"/>
      <c r="F13" s="110"/>
      <c r="G13" s="110"/>
      <c r="H13" s="110"/>
      <c r="I13" s="110"/>
      <c r="J13" s="110"/>
      <c r="K13" s="111"/>
    </row>
    <row r="14" spans="1:18" ht="15.75" thickBot="1" x14ac:dyDescent="0.3">
      <c r="A14" s="126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M14" s="46" t="s">
        <v>153</v>
      </c>
      <c r="N14" s="46" t="s">
        <v>258</v>
      </c>
    </row>
    <row r="15" spans="1:18" ht="19.5" thickBot="1" x14ac:dyDescent="0.3">
      <c r="A15" s="25"/>
      <c r="B15" s="25"/>
      <c r="C15" s="25"/>
      <c r="D15" s="25"/>
      <c r="E15" s="25"/>
      <c r="F15" s="71" t="str">
        <f>IF(SUM(J27:J160)&gt;N12,"ANALISE A COMPRA LIMITE EXCEDIDO","Valor Total do Pedido")</f>
        <v>Valor Total do Pedido</v>
      </c>
      <c r="G15" s="72"/>
      <c r="H15" s="72"/>
      <c r="I15" s="73"/>
      <c r="J15" s="74">
        <f>SUM(J21:K27)</f>
        <v>485.10000000000008</v>
      </c>
      <c r="K15" s="75"/>
      <c r="M15" s="32">
        <f>IFERROR(N12-J15,"")</f>
        <v>-485.10000000000008</v>
      </c>
      <c r="N15" s="62">
        <v>485.1</v>
      </c>
    </row>
    <row r="16" spans="1:18" ht="19.5" hidden="1" thickBot="1" x14ac:dyDescent="0.3">
      <c r="A16" s="56" t="s">
        <v>240</v>
      </c>
      <c r="B16" s="90"/>
      <c r="C16" s="91"/>
      <c r="D16" s="91"/>
      <c r="E16" s="91"/>
      <c r="F16" s="92"/>
      <c r="G16" s="93" t="s">
        <v>241</v>
      </c>
      <c r="H16" s="94"/>
      <c r="I16" s="94"/>
      <c r="J16" s="57" t="s">
        <v>121</v>
      </c>
      <c r="K16" s="58"/>
    </row>
    <row r="17" spans="1:13" ht="29.25" customHeight="1" thickBot="1" x14ac:dyDescent="0.3">
      <c r="A17" s="71" t="s">
        <v>19</v>
      </c>
      <c r="B17" s="72"/>
      <c r="C17" s="72"/>
      <c r="D17" s="72"/>
      <c r="E17" s="72"/>
      <c r="F17" s="73"/>
      <c r="G17" s="71" t="s">
        <v>20</v>
      </c>
      <c r="H17" s="72"/>
      <c r="I17" s="72"/>
      <c r="J17" s="72"/>
      <c r="K17" s="73"/>
    </row>
    <row r="18" spans="1:13" ht="19.5" thickBot="1" x14ac:dyDescent="0.3">
      <c r="A18" s="33" t="s">
        <v>120</v>
      </c>
      <c r="B18" s="84" t="s">
        <v>238</v>
      </c>
      <c r="C18" s="85"/>
      <c r="D18" s="34" t="s">
        <v>121</v>
      </c>
      <c r="E18" s="86">
        <v>43972</v>
      </c>
      <c r="F18" s="87"/>
      <c r="G18" s="35" t="s">
        <v>120</v>
      </c>
      <c r="H18" s="88"/>
      <c r="I18" s="89"/>
      <c r="J18" s="36" t="s">
        <v>121</v>
      </c>
      <c r="K18" s="37"/>
    </row>
    <row r="19" spans="1:13" ht="6" customHeight="1" thickBot="1" x14ac:dyDescent="0.3">
      <c r="A19" s="13"/>
      <c r="B19" s="14"/>
      <c r="C19" s="14"/>
      <c r="D19" s="15"/>
      <c r="E19" s="16"/>
      <c r="F19" s="16"/>
      <c r="G19" s="7"/>
      <c r="H19" s="8"/>
      <c r="I19" s="8"/>
      <c r="J19" s="7"/>
      <c r="K19" s="9"/>
    </row>
    <row r="20" spans="1:13" ht="32.25" thickBot="1" x14ac:dyDescent="0.3">
      <c r="A20" s="48" t="s">
        <v>4</v>
      </c>
      <c r="B20" s="80" t="s">
        <v>5</v>
      </c>
      <c r="C20" s="81"/>
      <c r="D20" s="81"/>
      <c r="E20" s="81"/>
      <c r="F20" s="82"/>
      <c r="G20" s="49" t="s">
        <v>6</v>
      </c>
      <c r="H20" s="50" t="s">
        <v>7</v>
      </c>
      <c r="I20" s="50" t="s">
        <v>8</v>
      </c>
      <c r="J20" s="80" t="s">
        <v>9</v>
      </c>
      <c r="K20" s="83"/>
      <c r="M20" s="190"/>
    </row>
    <row r="21" spans="1:13" ht="15.75" x14ac:dyDescent="0.25">
      <c r="A21" s="38">
        <v>1</v>
      </c>
      <c r="B21" s="68" t="s">
        <v>534</v>
      </c>
      <c r="C21" s="68"/>
      <c r="D21" s="68"/>
      <c r="E21" s="68"/>
      <c r="F21" s="68"/>
      <c r="G21" s="64">
        <v>30</v>
      </c>
      <c r="H21" s="65" t="s">
        <v>540</v>
      </c>
      <c r="I21" s="66">
        <v>9.92</v>
      </c>
      <c r="J21" s="69">
        <f t="shared" ref="J21" si="0">I21*G21</f>
        <v>297.60000000000002</v>
      </c>
      <c r="K21" s="70"/>
    </row>
    <row r="22" spans="1:13" ht="15.75" x14ac:dyDescent="0.25">
      <c r="A22" s="38">
        <v>2</v>
      </c>
      <c r="B22" s="68" t="s">
        <v>535</v>
      </c>
      <c r="C22" s="68"/>
      <c r="D22" s="68"/>
      <c r="E22" s="68"/>
      <c r="F22" s="68"/>
      <c r="G22" s="52">
        <v>3</v>
      </c>
      <c r="H22" s="65" t="s">
        <v>536</v>
      </c>
      <c r="I22" s="63">
        <v>29.46</v>
      </c>
      <c r="J22" s="69">
        <f t="shared" ref="J22:J26" si="1">I22*G22</f>
        <v>88.38</v>
      </c>
      <c r="K22" s="70"/>
    </row>
    <row r="23" spans="1:13" ht="15.75" x14ac:dyDescent="0.25">
      <c r="A23" s="38">
        <v>3</v>
      </c>
      <c r="B23" s="145" t="s">
        <v>537</v>
      </c>
      <c r="C23" s="145"/>
      <c r="D23" s="145"/>
      <c r="E23" s="145"/>
      <c r="F23" s="145"/>
      <c r="G23" s="52">
        <v>40</v>
      </c>
      <c r="H23" s="65" t="s">
        <v>540</v>
      </c>
      <c r="I23" s="63">
        <v>0.74</v>
      </c>
      <c r="J23" s="69">
        <f t="shared" si="1"/>
        <v>29.6</v>
      </c>
      <c r="K23" s="70"/>
    </row>
    <row r="24" spans="1:13" ht="15.75" x14ac:dyDescent="0.25">
      <c r="A24" s="38">
        <v>4</v>
      </c>
      <c r="B24" s="68" t="s">
        <v>538</v>
      </c>
      <c r="C24" s="68"/>
      <c r="D24" s="68"/>
      <c r="E24" s="68"/>
      <c r="F24" s="68"/>
      <c r="G24" s="52">
        <v>48</v>
      </c>
      <c r="H24" s="65" t="s">
        <v>540</v>
      </c>
      <c r="I24" s="63">
        <v>0.54</v>
      </c>
      <c r="J24" s="69">
        <f t="shared" si="1"/>
        <v>25.92</v>
      </c>
      <c r="K24" s="70"/>
      <c r="M24" s="190"/>
    </row>
    <row r="25" spans="1:13" ht="15.75" x14ac:dyDescent="0.25">
      <c r="A25" s="38">
        <v>5</v>
      </c>
      <c r="B25" s="68" t="s">
        <v>539</v>
      </c>
      <c r="C25" s="68"/>
      <c r="D25" s="68"/>
      <c r="E25" s="68"/>
      <c r="F25" s="68"/>
      <c r="G25" s="52">
        <v>2</v>
      </c>
      <c r="H25" s="65" t="s">
        <v>540</v>
      </c>
      <c r="I25" s="63">
        <v>21.8</v>
      </c>
      <c r="J25" s="69">
        <f t="shared" si="1"/>
        <v>43.6</v>
      </c>
      <c r="K25" s="70"/>
    </row>
    <row r="26" spans="1:13" ht="15.75" x14ac:dyDescent="0.25">
      <c r="A26" s="38">
        <v>6</v>
      </c>
      <c r="B26" s="68"/>
      <c r="C26" s="68"/>
      <c r="D26" s="68"/>
      <c r="E26" s="68"/>
      <c r="F26" s="68"/>
      <c r="G26" s="52"/>
      <c r="H26" s="65"/>
      <c r="I26" s="63"/>
      <c r="J26" s="69">
        <f t="shared" si="1"/>
        <v>0</v>
      </c>
      <c r="K26" s="70"/>
    </row>
    <row r="27" spans="1:13" ht="16.5" thickBot="1" x14ac:dyDescent="0.3">
      <c r="A27" s="38">
        <v>7</v>
      </c>
      <c r="B27" s="186"/>
      <c r="C27" s="187"/>
      <c r="D27" s="187"/>
      <c r="E27" s="187"/>
      <c r="F27" s="188"/>
      <c r="G27" s="53"/>
      <c r="H27" s="54"/>
      <c r="I27" s="55"/>
      <c r="J27" s="69">
        <f t="shared" ref="J27" si="2">I27*G27</f>
        <v>0</v>
      </c>
      <c r="K27" s="70"/>
    </row>
    <row r="28" spans="1:13" ht="15.75" x14ac:dyDescent="0.25">
      <c r="A28" s="17"/>
      <c r="B28" s="18"/>
      <c r="C28" s="19"/>
      <c r="D28" s="19"/>
      <c r="E28" s="19"/>
      <c r="F28" s="19"/>
      <c r="G28" s="20"/>
      <c r="H28" s="21"/>
      <c r="I28" s="22"/>
      <c r="J28" s="23"/>
      <c r="K28" s="23"/>
      <c r="L28" s="39"/>
    </row>
    <row r="29" spans="1:13" ht="15.75" thickBot="1" x14ac:dyDescent="0.3">
      <c r="A29" s="179"/>
      <c r="B29" s="179"/>
      <c r="C29" s="179"/>
      <c r="D29" s="179"/>
      <c r="E29" s="179"/>
      <c r="F29" s="179"/>
      <c r="G29" s="179"/>
      <c r="H29" s="180"/>
      <c r="I29" s="179"/>
      <c r="J29" s="179"/>
      <c r="K29" s="179"/>
    </row>
    <row r="30" spans="1:13" ht="16.5" thickBot="1" x14ac:dyDescent="0.3">
      <c r="A30" s="184" t="s">
        <v>10</v>
      </c>
      <c r="B30" s="185"/>
      <c r="C30" s="185"/>
      <c r="D30" s="185"/>
      <c r="E30" s="185"/>
      <c r="F30" s="146" t="s">
        <v>541</v>
      </c>
      <c r="G30" s="147"/>
      <c r="H30" s="147"/>
      <c r="I30" s="147"/>
      <c r="J30" s="147"/>
      <c r="K30" s="148"/>
    </row>
    <row r="31" spans="1:13" ht="15.75" thickBot="1" x14ac:dyDescent="0.3">
      <c r="A31" s="179"/>
      <c r="B31" s="179"/>
      <c r="C31" s="179"/>
      <c r="D31" s="179"/>
      <c r="E31" s="179"/>
      <c r="F31" s="179"/>
      <c r="G31" s="179"/>
      <c r="H31" s="180"/>
      <c r="I31" s="179"/>
      <c r="J31" s="179"/>
      <c r="K31" s="179"/>
    </row>
    <row r="32" spans="1:13" ht="16.5" thickBot="1" x14ac:dyDescent="0.3">
      <c r="A32" s="173" t="s">
        <v>11</v>
      </c>
      <c r="B32" s="174"/>
      <c r="C32" s="174"/>
      <c r="D32" s="174"/>
      <c r="E32" s="175"/>
      <c r="F32" s="176" t="s">
        <v>530</v>
      </c>
      <c r="G32" s="177"/>
      <c r="H32" s="143"/>
      <c r="I32" s="177"/>
      <c r="J32" s="177"/>
      <c r="K32" s="178"/>
    </row>
    <row r="33" spans="1:11" ht="15.75" thickBot="1" x14ac:dyDescent="0.3">
      <c r="A33" s="179"/>
      <c r="B33" s="179"/>
      <c r="C33" s="179"/>
      <c r="D33" s="179"/>
      <c r="E33" s="179"/>
      <c r="F33" s="179"/>
      <c r="G33" s="179"/>
      <c r="H33" s="180"/>
      <c r="I33" s="179"/>
      <c r="J33" s="179"/>
      <c r="K33" s="179"/>
    </row>
    <row r="34" spans="1:11" ht="16.5" thickBot="1" x14ac:dyDescent="0.3">
      <c r="A34" s="119" t="s">
        <v>12</v>
      </c>
      <c r="B34" s="120"/>
      <c r="C34" s="120"/>
      <c r="D34" s="120"/>
      <c r="E34" s="120"/>
      <c r="F34" s="120"/>
      <c r="G34" s="120"/>
      <c r="H34" s="81"/>
      <c r="I34" s="120"/>
      <c r="J34" s="120"/>
      <c r="K34" s="181"/>
    </row>
    <row r="35" spans="1:11" x14ac:dyDescent="0.25">
      <c r="A35" s="182" t="s">
        <v>154</v>
      </c>
      <c r="B35" s="149"/>
      <c r="C35" s="149"/>
      <c r="D35" s="149"/>
      <c r="E35" s="149"/>
      <c r="F35" s="149"/>
      <c r="G35" s="149"/>
      <c r="H35" s="150"/>
      <c r="I35" s="149"/>
      <c r="J35" s="149"/>
      <c r="K35" s="183"/>
    </row>
    <row r="36" spans="1:11" x14ac:dyDescent="0.25">
      <c r="A36" s="182"/>
      <c r="B36" s="149"/>
      <c r="C36" s="149"/>
      <c r="D36" s="149"/>
      <c r="E36" s="149"/>
      <c r="F36" s="149"/>
      <c r="G36" s="149"/>
      <c r="H36" s="150"/>
      <c r="I36" s="149"/>
      <c r="J36" s="149"/>
      <c r="K36" s="183"/>
    </row>
    <row r="37" spans="1:11" ht="15.75" thickBot="1" x14ac:dyDescent="0.3">
      <c r="A37" s="169" t="s">
        <v>13</v>
      </c>
      <c r="B37" s="170"/>
      <c r="C37" s="170"/>
      <c r="D37" s="170"/>
      <c r="E37" s="170"/>
      <c r="F37" s="170"/>
      <c r="G37" s="170"/>
      <c r="H37" s="171"/>
      <c r="I37" s="170"/>
      <c r="J37" s="170"/>
      <c r="K37" s="172"/>
    </row>
    <row r="38" spans="1:11" ht="7.5" customHeight="1" thickBot="1" x14ac:dyDescent="0.3">
      <c r="A38" s="24"/>
      <c r="B38" s="149"/>
      <c r="C38" s="149"/>
      <c r="D38" s="149"/>
      <c r="E38" s="149"/>
      <c r="F38" s="149"/>
      <c r="G38" s="149"/>
      <c r="H38" s="150"/>
      <c r="I38" s="149"/>
      <c r="J38" s="149"/>
      <c r="K38" s="149"/>
    </row>
    <row r="39" spans="1:11" x14ac:dyDescent="0.25">
      <c r="A39" s="151" t="s">
        <v>14</v>
      </c>
      <c r="B39" s="152"/>
      <c r="C39" s="152"/>
      <c r="D39" s="152"/>
      <c r="E39" s="157" t="s">
        <v>15</v>
      </c>
      <c r="F39" s="158"/>
      <c r="G39" s="158"/>
      <c r="H39" s="159"/>
      <c r="I39" s="158"/>
      <c r="J39" s="158"/>
      <c r="K39" s="160"/>
    </row>
    <row r="40" spans="1:11" x14ac:dyDescent="0.25">
      <c r="A40" s="153"/>
      <c r="B40" s="154"/>
      <c r="C40" s="154"/>
      <c r="D40" s="154"/>
      <c r="E40" s="161" t="s">
        <v>16</v>
      </c>
      <c r="F40" s="162"/>
      <c r="G40" s="162"/>
      <c r="H40" s="163"/>
      <c r="I40" s="162"/>
      <c r="J40" s="162"/>
      <c r="K40" s="164"/>
    </row>
    <row r="41" spans="1:11" ht="24" customHeight="1" x14ac:dyDescent="0.25">
      <c r="A41" s="153"/>
      <c r="B41" s="154"/>
      <c r="C41" s="154"/>
      <c r="D41" s="154"/>
      <c r="E41" s="161" t="s">
        <v>17</v>
      </c>
      <c r="F41" s="162"/>
      <c r="G41" s="162"/>
      <c r="H41" s="163"/>
      <c r="I41" s="162"/>
      <c r="J41" s="162"/>
      <c r="K41" s="164"/>
    </row>
    <row r="42" spans="1:11" ht="27" customHeight="1" thickBot="1" x14ac:dyDescent="0.3">
      <c r="A42" s="155"/>
      <c r="B42" s="156"/>
      <c r="C42" s="156"/>
      <c r="D42" s="156"/>
      <c r="E42" s="165" t="s">
        <v>55</v>
      </c>
      <c r="F42" s="166"/>
      <c r="G42" s="166"/>
      <c r="H42" s="167"/>
      <c r="I42" s="166"/>
      <c r="J42" s="166"/>
      <c r="K42" s="168"/>
    </row>
    <row r="43" spans="1:11" ht="6.75" customHeight="1" x14ac:dyDescent="0.25">
      <c r="A43" s="25"/>
      <c r="B43" s="25"/>
      <c r="C43" s="25"/>
      <c r="D43" s="25"/>
      <c r="E43" s="26"/>
      <c r="F43" s="26"/>
      <c r="G43" s="27"/>
      <c r="H43" s="26"/>
      <c r="I43" s="26"/>
      <c r="J43" s="26"/>
      <c r="K43" s="26"/>
    </row>
    <row r="44" spans="1:11" x14ac:dyDescent="0.25">
      <c r="A44" s="40"/>
      <c r="B44" s="40"/>
      <c r="C44" s="40"/>
      <c r="D44" s="40"/>
      <c r="E44" s="40"/>
      <c r="F44" s="40"/>
      <c r="G44" s="41"/>
      <c r="H44" s="42"/>
      <c r="I44" s="40"/>
      <c r="J44" s="40"/>
      <c r="K44" s="40"/>
    </row>
    <row r="48" spans="1:11" x14ac:dyDescent="0.25">
      <c r="B48" s="43" t="s">
        <v>83</v>
      </c>
      <c r="D48" s="191">
        <v>385.98</v>
      </c>
    </row>
    <row r="49" spans="2:4" x14ac:dyDescent="0.25">
      <c r="B49" s="43" t="s">
        <v>542</v>
      </c>
      <c r="D49" s="191">
        <v>55.52</v>
      </c>
    </row>
    <row r="50" spans="2:4" x14ac:dyDescent="0.25">
      <c r="B50" s="43" t="s">
        <v>543</v>
      </c>
      <c r="D50" s="191">
        <v>43.6</v>
      </c>
    </row>
    <row r="51" spans="2:4" x14ac:dyDescent="0.25">
      <c r="D51" s="191"/>
    </row>
    <row r="52" spans="2:4" x14ac:dyDescent="0.25">
      <c r="D52" s="191">
        <f>SUM(D48:D51)</f>
        <v>485.1</v>
      </c>
    </row>
  </sheetData>
  <sheetProtection algorithmName="SHA-512" hashValue="dH4EqBNcIMWhSWF218hsfqWFcnR2mLsqzxriuYzH9REAeCz07ZbfPNJWIKoK3DYdddRSZIMJkJ97t8w+mt0XXw==" saltValue="hPceF/BPF7rMzWT/MclRCw==" spinCount="100000" sheet="1" objects="1" scenarios="1"/>
  <autoFilter ref="A20:K27" xr:uid="{78649902-289B-4284-BF4B-AAA9F6B77C75}">
    <filterColumn colId="1" showButton="0"/>
    <filterColumn colId="2" showButton="0"/>
    <filterColumn colId="3" showButton="0"/>
    <filterColumn colId="4" showButton="0"/>
    <filterColumn colId="9" showButton="0"/>
  </autoFilter>
  <mergeCells count="63">
    <mergeCell ref="J27:K27"/>
    <mergeCell ref="B27:F27"/>
    <mergeCell ref="B26:F26"/>
    <mergeCell ref="J26:K26"/>
    <mergeCell ref="B22:F22"/>
    <mergeCell ref="J22:K22"/>
    <mergeCell ref="B23:F23"/>
    <mergeCell ref="J23:K23"/>
    <mergeCell ref="B24:F24"/>
    <mergeCell ref="J24:K24"/>
    <mergeCell ref="F30:K30"/>
    <mergeCell ref="B38:K38"/>
    <mergeCell ref="A39:D42"/>
    <mergeCell ref="E39:K39"/>
    <mergeCell ref="E40:K40"/>
    <mergeCell ref="E41:K41"/>
    <mergeCell ref="E42:K42"/>
    <mergeCell ref="A37:K37"/>
    <mergeCell ref="A32:E32"/>
    <mergeCell ref="F32:K32"/>
    <mergeCell ref="A33:K33"/>
    <mergeCell ref="A34:K34"/>
    <mergeCell ref="A35:K36"/>
    <mergeCell ref="A29:K29"/>
    <mergeCell ref="A30:E30"/>
    <mergeCell ref="A31:K31"/>
    <mergeCell ref="B25:F25"/>
    <mergeCell ref="J25:K25"/>
    <mergeCell ref="L1:M1"/>
    <mergeCell ref="L3:M3"/>
    <mergeCell ref="A17:F17"/>
    <mergeCell ref="G17:K17"/>
    <mergeCell ref="B7:G7"/>
    <mergeCell ref="B8:K8"/>
    <mergeCell ref="A11:B11"/>
    <mergeCell ref="C11:K11"/>
    <mergeCell ref="A13:B13"/>
    <mergeCell ref="C13:K13"/>
    <mergeCell ref="A10:K10"/>
    <mergeCell ref="A12:B12"/>
    <mergeCell ref="C12:K12"/>
    <mergeCell ref="A5:B5"/>
    <mergeCell ref="C5:K5"/>
    <mergeCell ref="A6:K6"/>
    <mergeCell ref="A14:K14"/>
    <mergeCell ref="A1:E3"/>
    <mergeCell ref="F1:K1"/>
    <mergeCell ref="F3:J3"/>
    <mergeCell ref="A4:K4"/>
    <mergeCell ref="F2:K2"/>
    <mergeCell ref="B21:F21"/>
    <mergeCell ref="J21:K21"/>
    <mergeCell ref="F15:I15"/>
    <mergeCell ref="J15:K15"/>
    <mergeCell ref="H7:I7"/>
    <mergeCell ref="J7:K7"/>
    <mergeCell ref="B20:F20"/>
    <mergeCell ref="J20:K20"/>
    <mergeCell ref="B18:C18"/>
    <mergeCell ref="E18:F18"/>
    <mergeCell ref="H18:I18"/>
    <mergeCell ref="B16:F16"/>
    <mergeCell ref="G16:I16"/>
  </mergeCells>
  <conditionalFormatting sqref="F15:I15">
    <cfRule type="cellIs" dxfId="6" priority="7" operator="equal">
      <formula>"ANALISE A COMPRA LIMITE EXCEDIDO"</formula>
    </cfRule>
  </conditionalFormatting>
  <conditionalFormatting sqref="J15:K15">
    <cfRule type="cellIs" dxfId="5" priority="1" operator="equal">
      <formula>0</formula>
    </cfRule>
    <cfRule type="cellIs" dxfId="4" priority="6" operator="equal">
      <formula>"LIMITE EXCEDIDO"</formula>
    </cfRule>
  </conditionalFormatting>
  <conditionalFormatting sqref="F2:K2">
    <cfRule type="cellIs" dxfId="3" priority="5" operator="equal">
      <formula>""</formula>
    </cfRule>
  </conditionalFormatting>
  <conditionalFormatting sqref="K3">
    <cfRule type="cellIs" dxfId="2" priority="4" operator="equal">
      <formula>""</formula>
    </cfRule>
  </conditionalFormatting>
  <conditionalFormatting sqref="C5:K5">
    <cfRule type="cellIs" dxfId="1" priority="3" operator="equal">
      <formula>""</formula>
    </cfRule>
  </conditionalFormatting>
  <conditionalFormatting sqref="C11:K11">
    <cfRule type="cellIs" dxfId="0" priority="2" operator="equal">
      <formula>""</formula>
    </cfRule>
  </conditionalFormatting>
  <dataValidations count="2">
    <dataValidation type="list" allowBlank="1" showInputMessage="1" showErrorMessage="1" errorTitle="Fornecedor não cadastrado" error="Cliente/Fornecedor não Cadastrado, por favor, vá na planilha FORNECEDOR e insira os dados solicitado._x000a_É de extrema importancia preencher todos os dados" sqref="C5:K5" xr:uid="{0403FC3E-EDEB-44FF-A19E-1312DAB51AF9}">
      <formula1>CLIENTE_FORNECEDOR</formula1>
    </dataValidation>
    <dataValidation type="list" allowBlank="1" sqref="C11:K11" xr:uid="{4EC72665-0238-4D53-ADBF-C35561F6D814}">
      <formula1>Contratos_vetorh</formula1>
    </dataValidation>
  </dataValidations>
  <pageMargins left="0.511811024" right="0.511811024" top="0.78740157499999996" bottom="0.78740157499999996" header="0.31496062000000002" footer="0.31496062000000002"/>
  <pageSetup paperSize="9" scale="6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C6A30-5EEC-4169-9768-C5D104ADB456}">
  <sheetPr codeName="Planilha7">
    <tabColor rgb="FFFFFF00"/>
  </sheetPr>
  <dimension ref="A1"/>
  <sheetViews>
    <sheetView workbookViewId="0"/>
  </sheetViews>
  <sheetFormatPr defaultRowHeight="15" x14ac:dyDescent="0.25"/>
  <cols>
    <col min="1" max="16384" width="9.140625" style="28"/>
  </cols>
  <sheetData/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593DD-54F3-4583-8839-96E453C57310}">
  <sheetPr codeName="Planilha3">
    <tabColor theme="7"/>
  </sheetPr>
  <dimension ref="A1:D23"/>
  <sheetViews>
    <sheetView workbookViewId="0">
      <selection activeCell="J15" sqref="J15"/>
    </sheetView>
  </sheetViews>
  <sheetFormatPr defaultRowHeight="15" x14ac:dyDescent="0.25"/>
  <cols>
    <col min="1" max="1" width="33.42578125" bestFit="1" customWidth="1"/>
    <col min="2" max="2" width="15.85546875" bestFit="1" customWidth="1"/>
    <col min="3" max="3" width="13.7109375" bestFit="1" customWidth="1"/>
    <col min="4" max="4" width="39.5703125" bestFit="1" customWidth="1"/>
  </cols>
  <sheetData>
    <row r="1" spans="1:4" ht="15.75" x14ac:dyDescent="0.25">
      <c r="A1" s="189" t="s">
        <v>60</v>
      </c>
      <c r="B1" s="189"/>
      <c r="C1" s="189"/>
      <c r="D1" s="189"/>
    </row>
    <row r="2" spans="1:4" x14ac:dyDescent="0.25">
      <c r="A2" t="s">
        <v>56</v>
      </c>
      <c r="B2" t="s">
        <v>57</v>
      </c>
      <c r="C2" t="s">
        <v>58</v>
      </c>
      <c r="D2" t="s">
        <v>59</v>
      </c>
    </row>
    <row r="3" spans="1:4" x14ac:dyDescent="0.25">
      <c r="A3" t="s">
        <v>521</v>
      </c>
      <c r="C3" t="s">
        <v>522</v>
      </c>
      <c r="D3" s="4"/>
    </row>
    <row r="4" spans="1:4" x14ac:dyDescent="0.25">
      <c r="A4" t="s">
        <v>145</v>
      </c>
      <c r="B4" t="s">
        <v>146</v>
      </c>
      <c r="C4" t="s">
        <v>148</v>
      </c>
      <c r="D4" s="4" t="s">
        <v>147</v>
      </c>
    </row>
    <row r="5" spans="1:4" x14ac:dyDescent="0.25">
      <c r="A5" t="s">
        <v>210</v>
      </c>
      <c r="B5" t="s">
        <v>211</v>
      </c>
      <c r="C5" t="s">
        <v>212</v>
      </c>
      <c r="D5" s="4" t="s">
        <v>213</v>
      </c>
    </row>
    <row r="6" spans="1:4" x14ac:dyDescent="0.25">
      <c r="A6" t="s">
        <v>198</v>
      </c>
      <c r="B6" t="s">
        <v>199</v>
      </c>
      <c r="C6" t="s">
        <v>200</v>
      </c>
      <c r="D6" s="4" t="s">
        <v>201</v>
      </c>
    </row>
    <row r="7" spans="1:4" x14ac:dyDescent="0.25">
      <c r="A7" t="s">
        <v>226</v>
      </c>
      <c r="B7" t="s">
        <v>227</v>
      </c>
      <c r="C7" t="s">
        <v>228</v>
      </c>
      <c r="D7" s="4" t="s">
        <v>229</v>
      </c>
    </row>
    <row r="8" spans="1:4" x14ac:dyDescent="0.25">
      <c r="A8" t="s">
        <v>218</v>
      </c>
      <c r="B8" t="s">
        <v>219</v>
      </c>
      <c r="C8" t="s">
        <v>220</v>
      </c>
      <c r="D8" s="4" t="s">
        <v>221</v>
      </c>
    </row>
    <row r="9" spans="1:4" x14ac:dyDescent="0.25">
      <c r="A9" t="s">
        <v>234</v>
      </c>
      <c r="C9" t="s">
        <v>235</v>
      </c>
      <c r="D9" s="4"/>
    </row>
    <row r="10" spans="1:4" x14ac:dyDescent="0.25">
      <c r="A10" t="s">
        <v>518</v>
      </c>
      <c r="B10" t="s">
        <v>519</v>
      </c>
      <c r="C10" t="s">
        <v>520</v>
      </c>
      <c r="D10" s="4"/>
    </row>
    <row r="11" spans="1:4" x14ac:dyDescent="0.25">
      <c r="A11" t="s">
        <v>75</v>
      </c>
      <c r="B11" t="s">
        <v>77</v>
      </c>
      <c r="C11" t="s">
        <v>149</v>
      </c>
      <c r="D11" s="4" t="s">
        <v>76</v>
      </c>
    </row>
    <row r="12" spans="1:4" x14ac:dyDescent="0.25">
      <c r="A12" t="s">
        <v>527</v>
      </c>
      <c r="B12" t="s">
        <v>529</v>
      </c>
      <c r="C12" t="s">
        <v>528</v>
      </c>
      <c r="D12" s="4"/>
    </row>
    <row r="13" spans="1:4" x14ac:dyDescent="0.25">
      <c r="A13" t="s">
        <v>523</v>
      </c>
      <c r="B13" t="s">
        <v>524</v>
      </c>
      <c r="C13" t="s">
        <v>525</v>
      </c>
      <c r="D13" s="4" t="s">
        <v>526</v>
      </c>
    </row>
    <row r="14" spans="1:4" x14ac:dyDescent="0.25">
      <c r="A14" t="s">
        <v>202</v>
      </c>
      <c r="B14" t="s">
        <v>203</v>
      </c>
      <c r="C14" t="s">
        <v>204</v>
      </c>
      <c r="D14" s="4" t="s">
        <v>205</v>
      </c>
    </row>
    <row r="15" spans="1:4" x14ac:dyDescent="0.25">
      <c r="A15" t="s">
        <v>426</v>
      </c>
      <c r="B15" t="s">
        <v>427</v>
      </c>
      <c r="C15" t="s">
        <v>428</v>
      </c>
      <c r="D15" s="4" t="s">
        <v>429</v>
      </c>
    </row>
    <row r="16" spans="1:4" x14ac:dyDescent="0.25">
      <c r="A16" t="s">
        <v>254</v>
      </c>
      <c r="B16" t="s">
        <v>257</v>
      </c>
      <c r="C16" t="s">
        <v>255</v>
      </c>
      <c r="D16" s="4" t="s">
        <v>256</v>
      </c>
    </row>
    <row r="17" spans="1:4" x14ac:dyDescent="0.25">
      <c r="A17" t="s">
        <v>222</v>
      </c>
      <c r="B17" t="s">
        <v>223</v>
      </c>
      <c r="C17" t="s">
        <v>224</v>
      </c>
      <c r="D17" s="4" t="s">
        <v>225</v>
      </c>
    </row>
    <row r="18" spans="1:4" x14ac:dyDescent="0.25">
      <c r="A18" t="s">
        <v>206</v>
      </c>
      <c r="B18" t="s">
        <v>207</v>
      </c>
      <c r="C18" t="s">
        <v>208</v>
      </c>
      <c r="D18" s="4" t="s">
        <v>209</v>
      </c>
    </row>
    <row r="19" spans="1:4" x14ac:dyDescent="0.25">
      <c r="A19" t="s">
        <v>214</v>
      </c>
      <c r="B19" t="s">
        <v>215</v>
      </c>
      <c r="C19" t="s">
        <v>216</v>
      </c>
      <c r="D19" s="4" t="s">
        <v>217</v>
      </c>
    </row>
    <row r="20" spans="1:4" x14ac:dyDescent="0.25">
      <c r="A20" t="s">
        <v>252</v>
      </c>
      <c r="B20" t="s">
        <v>251</v>
      </c>
      <c r="C20" t="s">
        <v>253</v>
      </c>
      <c r="D20" s="4" t="s">
        <v>250</v>
      </c>
    </row>
    <row r="21" spans="1:4" x14ac:dyDescent="0.25">
      <c r="A21" t="s">
        <v>72</v>
      </c>
      <c r="B21" t="s">
        <v>73</v>
      </c>
      <c r="C21" t="s">
        <v>74</v>
      </c>
      <c r="D21" s="4"/>
    </row>
    <row r="22" spans="1:4" x14ac:dyDescent="0.25">
      <c r="A22" t="s">
        <v>194</v>
      </c>
      <c r="B22" t="s">
        <v>195</v>
      </c>
      <c r="C22" t="s">
        <v>196</v>
      </c>
      <c r="D22" s="4" t="s">
        <v>197</v>
      </c>
    </row>
    <row r="23" spans="1:4" x14ac:dyDescent="0.25">
      <c r="A23" t="s">
        <v>230</v>
      </c>
      <c r="B23" t="s">
        <v>231</v>
      </c>
      <c r="C23" t="s">
        <v>232</v>
      </c>
      <c r="D23" s="4" t="s">
        <v>233</v>
      </c>
    </row>
  </sheetData>
  <mergeCells count="1">
    <mergeCell ref="A1:D1"/>
  </mergeCells>
  <hyperlinks>
    <hyperlink ref="D11" r:id="rId1" xr:uid="{F34AE8AE-C6DE-4B7F-9A24-B83CBABA17D6}"/>
    <hyperlink ref="D4" r:id="rId2" xr:uid="{4D1F0E36-E940-4ECA-9709-69F64AAB2D3D}"/>
    <hyperlink ref="D22" r:id="rId3" xr:uid="{95155008-9318-4043-896C-6B2A29B6C331}"/>
    <hyperlink ref="D6" r:id="rId4" xr:uid="{BAFDB082-256F-40A2-81B8-C59C3FA3ED56}"/>
    <hyperlink ref="D14" r:id="rId5" xr:uid="{380D17CF-538D-440E-9BB7-1E20EF97C7A1}"/>
    <hyperlink ref="D18" r:id="rId6" xr:uid="{638F00D1-AF88-495C-BCBB-B64F61B5A0C5}"/>
    <hyperlink ref="D5" r:id="rId7" xr:uid="{7CC33CA4-6E84-433E-BCC1-20EC4D47ECA4}"/>
    <hyperlink ref="D19" r:id="rId8" xr:uid="{86B8546A-25E0-4A15-AD12-37E4B421466A}"/>
    <hyperlink ref="D8" r:id="rId9" xr:uid="{7497CC56-CB88-48DD-ABEA-82FE293E1C99}"/>
    <hyperlink ref="D17" r:id="rId10" xr:uid="{37E5C464-514A-42A4-94A4-6CD1A68A696D}"/>
    <hyperlink ref="D7" r:id="rId11" xr:uid="{808A2634-D402-428B-8FCD-8C0A696A08CA}"/>
    <hyperlink ref="D23" r:id="rId12" xr:uid="{E57E52D6-5121-463C-B35F-07C8ECA6CD2B}"/>
    <hyperlink ref="D20" r:id="rId13" xr:uid="{7912DEAD-7966-4E16-8694-EC4533F49CD9}"/>
    <hyperlink ref="D16" r:id="rId14" xr:uid="{459EDEA9-EC7F-4E56-B658-26C463638452}"/>
    <hyperlink ref="D15" r:id="rId15" xr:uid="{49A684CD-B178-4942-AAEF-261D73E5D84A}"/>
    <hyperlink ref="D13" r:id="rId16" xr:uid="{2D634C59-95FC-4FD7-8163-2F7C83D86CC1}"/>
  </hyperlinks>
  <pageMargins left="0.511811024" right="0.511811024" top="0.78740157499999996" bottom="0.78740157499999996" header="0.31496062000000002" footer="0.31496062000000002"/>
  <pageSetup paperSize="9" orientation="portrait" r:id="rId17"/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19907-4C27-43D1-A538-9610E3F3A15A}">
  <sheetPr codeName="Planilha6">
    <tabColor rgb="FF00B0F0"/>
  </sheetPr>
  <dimension ref="A1:N158"/>
  <sheetViews>
    <sheetView workbookViewId="0">
      <selection sqref="A1:A1048576"/>
    </sheetView>
  </sheetViews>
  <sheetFormatPr defaultRowHeight="15" x14ac:dyDescent="0.25"/>
  <cols>
    <col min="1" max="1" width="58.85546875" bestFit="1" customWidth="1"/>
    <col min="2" max="2" width="16.28515625" bestFit="1" customWidth="1"/>
    <col min="3" max="3" width="33.28515625" bestFit="1" customWidth="1"/>
    <col min="4" max="4" width="11.5703125" bestFit="1" customWidth="1"/>
    <col min="5" max="5" width="13.140625" bestFit="1" customWidth="1"/>
    <col min="6" max="6" width="19.28515625" bestFit="1" customWidth="1"/>
    <col min="7" max="7" width="18.140625" bestFit="1" customWidth="1"/>
    <col min="8" max="8" width="14.28515625" bestFit="1" customWidth="1"/>
    <col min="9" max="9" width="14.7109375" bestFit="1" customWidth="1"/>
    <col min="10" max="10" width="12.85546875" bestFit="1" customWidth="1"/>
    <col min="11" max="11" width="151.28515625" bestFit="1" customWidth="1"/>
    <col min="12" max="12" width="20" bestFit="1" customWidth="1"/>
    <col min="14" max="14" width="15.140625" customWidth="1"/>
  </cols>
  <sheetData>
    <row r="1" spans="1:14" x14ac:dyDescent="0.25">
      <c r="A1" t="s">
        <v>242</v>
      </c>
      <c r="B1" s="5" t="s">
        <v>70</v>
      </c>
      <c r="C1" s="5" t="s">
        <v>64</v>
      </c>
      <c r="D1" s="5" t="s">
        <v>65</v>
      </c>
      <c r="E1" s="5" t="s">
        <v>66</v>
      </c>
      <c r="F1" s="5" t="s">
        <v>67</v>
      </c>
      <c r="G1" s="5" t="s">
        <v>68</v>
      </c>
      <c r="H1" s="5" t="s">
        <v>69</v>
      </c>
      <c r="I1" s="5" t="s">
        <v>58</v>
      </c>
      <c r="J1" s="5" t="s">
        <v>57</v>
      </c>
      <c r="K1" s="6" t="s">
        <v>118</v>
      </c>
      <c r="L1" s="11" t="s">
        <v>151</v>
      </c>
    </row>
    <row r="2" spans="1:14" x14ac:dyDescent="0.25">
      <c r="A2" t="s">
        <v>78</v>
      </c>
      <c r="K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" s="60">
        <v>0</v>
      </c>
      <c r="N2" s="60"/>
    </row>
    <row r="3" spans="1:14" x14ac:dyDescent="0.25">
      <c r="A3" t="s">
        <v>79</v>
      </c>
      <c r="K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" s="60">
        <v>0</v>
      </c>
      <c r="N3" s="60"/>
    </row>
    <row r="4" spans="1:14" x14ac:dyDescent="0.25">
      <c r="A4" t="s">
        <v>517</v>
      </c>
      <c r="B4" t="s">
        <v>260</v>
      </c>
      <c r="C4" t="s">
        <v>261</v>
      </c>
      <c r="D4">
        <v>442</v>
      </c>
      <c r="E4" t="s">
        <v>262</v>
      </c>
      <c r="F4" t="s">
        <v>263</v>
      </c>
      <c r="G4" t="s">
        <v>264</v>
      </c>
      <c r="H4" t="s">
        <v>265</v>
      </c>
      <c r="I4" t="s">
        <v>266</v>
      </c>
      <c r="K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Gestservi - Rua Felisberta Francisca de carvalho - Nº: 442 - COMPLEMENTO : Superior - Santa Marta - Ribeirão das Neves - Minas Gerais - Contato:  - Tel: (31)3627-3859</v>
      </c>
      <c r="L4" s="60">
        <v>0</v>
      </c>
      <c r="N4" s="60"/>
    </row>
    <row r="5" spans="1:14" x14ac:dyDescent="0.25">
      <c r="A5" t="s">
        <v>80</v>
      </c>
      <c r="K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" s="60">
        <v>0</v>
      </c>
      <c r="N5" s="60"/>
    </row>
    <row r="6" spans="1:14" x14ac:dyDescent="0.25">
      <c r="A6" t="s">
        <v>430</v>
      </c>
      <c r="K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" s="60">
        <v>0</v>
      </c>
      <c r="N6" s="60"/>
    </row>
    <row r="7" spans="1:14" x14ac:dyDescent="0.25">
      <c r="A7" t="s">
        <v>81</v>
      </c>
      <c r="K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" s="60">
        <v>0</v>
      </c>
      <c r="N7" s="60"/>
    </row>
    <row r="8" spans="1:14" x14ac:dyDescent="0.25">
      <c r="A8" t="s">
        <v>431</v>
      </c>
      <c r="K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" s="60">
        <v>0</v>
      </c>
      <c r="N8" s="60"/>
    </row>
    <row r="9" spans="1:14" x14ac:dyDescent="0.25">
      <c r="A9" t="s">
        <v>432</v>
      </c>
      <c r="K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" s="60">
        <v>0</v>
      </c>
      <c r="N9" s="60"/>
    </row>
    <row r="10" spans="1:14" x14ac:dyDescent="0.25">
      <c r="A10" t="s">
        <v>243</v>
      </c>
      <c r="K1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" s="60">
        <v>0</v>
      </c>
      <c r="N10" s="60"/>
    </row>
    <row r="11" spans="1:14" x14ac:dyDescent="0.25">
      <c r="A11" t="s">
        <v>244</v>
      </c>
      <c r="K1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" s="60">
        <v>0</v>
      </c>
      <c r="N11" s="60"/>
    </row>
    <row r="12" spans="1:14" x14ac:dyDescent="0.25">
      <c r="A12" t="s">
        <v>245</v>
      </c>
      <c r="K1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" s="60">
        <v>0</v>
      </c>
      <c r="N12" s="60"/>
    </row>
    <row r="13" spans="1:14" x14ac:dyDescent="0.25">
      <c r="A13" t="s">
        <v>246</v>
      </c>
      <c r="K1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" s="60">
        <v>0</v>
      </c>
      <c r="N13" s="60"/>
    </row>
    <row r="14" spans="1:14" x14ac:dyDescent="0.25">
      <c r="A14" t="s">
        <v>82</v>
      </c>
      <c r="B14" t="s">
        <v>260</v>
      </c>
      <c r="C14" t="s">
        <v>261</v>
      </c>
      <c r="D14">
        <v>442</v>
      </c>
      <c r="E14" t="s">
        <v>262</v>
      </c>
      <c r="F14" t="s">
        <v>263</v>
      </c>
      <c r="G14" t="s">
        <v>264</v>
      </c>
      <c r="H14" t="s">
        <v>265</v>
      </c>
      <c r="I14" t="s">
        <v>266</v>
      </c>
      <c r="K1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Gestservi - Rua Felisberta Francisca de carvalho - Nº: 442 - COMPLEMENTO : Superior - Santa Marta - Ribeirão das Neves - Minas Gerais - Contato:  - Tel: (31)3627-3859</v>
      </c>
      <c r="L14" s="60">
        <v>0</v>
      </c>
      <c r="N14" s="60"/>
    </row>
    <row r="15" spans="1:14" x14ac:dyDescent="0.25">
      <c r="A15" t="s">
        <v>433</v>
      </c>
      <c r="K1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" s="60">
        <v>0</v>
      </c>
      <c r="N15" s="60"/>
    </row>
    <row r="16" spans="1:14" x14ac:dyDescent="0.25">
      <c r="A16" t="s">
        <v>83</v>
      </c>
      <c r="K1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6" s="60">
        <v>0</v>
      </c>
      <c r="N16" s="60"/>
    </row>
    <row r="17" spans="1:14" x14ac:dyDescent="0.25">
      <c r="A17" t="s">
        <v>123</v>
      </c>
      <c r="K1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7" s="60">
        <v>0</v>
      </c>
      <c r="N17" s="60"/>
    </row>
    <row r="18" spans="1:14" x14ac:dyDescent="0.25">
      <c r="A18" t="s">
        <v>434</v>
      </c>
      <c r="K1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8" s="60">
        <v>0</v>
      </c>
      <c r="N18" s="60"/>
    </row>
    <row r="19" spans="1:14" x14ac:dyDescent="0.25">
      <c r="A19" t="s">
        <v>124</v>
      </c>
      <c r="B19" t="s">
        <v>155</v>
      </c>
      <c r="C19" t="s">
        <v>156</v>
      </c>
      <c r="D19" t="s">
        <v>157</v>
      </c>
      <c r="F19" t="s">
        <v>158</v>
      </c>
      <c r="G19" t="s">
        <v>159</v>
      </c>
      <c r="H19" t="s">
        <v>160</v>
      </c>
      <c r="I19" t="s">
        <v>161</v>
      </c>
      <c r="J19" t="s">
        <v>162</v>
      </c>
      <c r="K1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MUSEU DO OURO - DA INTENDENCIA - Nº: S/N - COMPLEMENTO :  - CENTRO - SABARÁ - MINAS GERAIS  - Contato: ANGELO - Tel: (31) 3671-1848</v>
      </c>
      <c r="L19" s="60">
        <v>0</v>
      </c>
      <c r="N19" s="60"/>
    </row>
    <row r="20" spans="1:14" x14ac:dyDescent="0.25">
      <c r="A20" t="s">
        <v>435</v>
      </c>
      <c r="K2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0" s="60">
        <v>0</v>
      </c>
      <c r="N20" s="60"/>
    </row>
    <row r="21" spans="1:14" x14ac:dyDescent="0.25">
      <c r="A21" t="s">
        <v>125</v>
      </c>
      <c r="B21" t="s">
        <v>163</v>
      </c>
      <c r="C21" t="s">
        <v>164</v>
      </c>
      <c r="D21">
        <v>12</v>
      </c>
      <c r="F21" t="s">
        <v>158</v>
      </c>
      <c r="G21" t="s">
        <v>165</v>
      </c>
      <c r="H21" t="s">
        <v>166</v>
      </c>
      <c r="I21" t="s">
        <v>167</v>
      </c>
      <c r="J21" t="s">
        <v>168</v>
      </c>
      <c r="K2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IBRAM - MARECHAL TEODORO - Nº: 12 - COMPLEMENTO :  - CENTRO - SÃO JOÃO DEL REI - MG - Contato: HOSANA - Tel: 32 99772483</v>
      </c>
      <c r="L21" s="59">
        <v>0</v>
      </c>
      <c r="N21" s="60"/>
    </row>
    <row r="22" spans="1:14" x14ac:dyDescent="0.25">
      <c r="A22" t="s">
        <v>436</v>
      </c>
      <c r="K2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2" s="60">
        <v>0</v>
      </c>
      <c r="N22" s="60"/>
    </row>
    <row r="23" spans="1:14" x14ac:dyDescent="0.25">
      <c r="A23" t="s">
        <v>437</v>
      </c>
      <c r="K2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3" s="60">
        <v>0</v>
      </c>
      <c r="N23" s="60"/>
    </row>
    <row r="24" spans="1:14" x14ac:dyDescent="0.25">
      <c r="A24" t="s">
        <v>438</v>
      </c>
      <c r="K2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4" s="60">
        <v>0</v>
      </c>
      <c r="N24" s="60"/>
    </row>
    <row r="25" spans="1:14" x14ac:dyDescent="0.25">
      <c r="A25" t="s">
        <v>439</v>
      </c>
      <c r="K2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5" s="60">
        <v>0</v>
      </c>
      <c r="N25" s="60"/>
    </row>
    <row r="26" spans="1:14" x14ac:dyDescent="0.25">
      <c r="A26" t="s">
        <v>440</v>
      </c>
      <c r="K2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6" s="60">
        <v>0</v>
      </c>
      <c r="N26" s="60"/>
    </row>
    <row r="27" spans="1:14" x14ac:dyDescent="0.25">
      <c r="A27" t="s">
        <v>441</v>
      </c>
      <c r="K2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7" s="60">
        <v>0</v>
      </c>
      <c r="N27" s="60"/>
    </row>
    <row r="28" spans="1:14" x14ac:dyDescent="0.25">
      <c r="A28" t="s">
        <v>442</v>
      </c>
      <c r="K2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8" s="60">
        <v>0</v>
      </c>
      <c r="N28" s="60"/>
    </row>
    <row r="29" spans="1:14" x14ac:dyDescent="0.25">
      <c r="A29" t="s">
        <v>84</v>
      </c>
      <c r="K2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29" s="60">
        <v>0</v>
      </c>
      <c r="N29" s="60"/>
    </row>
    <row r="30" spans="1:14" x14ac:dyDescent="0.25">
      <c r="A30" t="s">
        <v>85</v>
      </c>
      <c r="K3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0" s="60">
        <v>0</v>
      </c>
      <c r="N30" s="60"/>
    </row>
    <row r="31" spans="1:14" x14ac:dyDescent="0.25">
      <c r="A31" t="s">
        <v>443</v>
      </c>
      <c r="K3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1" s="60">
        <v>0</v>
      </c>
      <c r="N31" s="60"/>
    </row>
    <row r="32" spans="1:14" x14ac:dyDescent="0.25">
      <c r="A32" t="s">
        <v>126</v>
      </c>
      <c r="K3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2" s="60">
        <v>0</v>
      </c>
      <c r="N32" s="60"/>
    </row>
    <row r="33" spans="1:14" x14ac:dyDescent="0.25">
      <c r="A33" t="s">
        <v>444</v>
      </c>
      <c r="K3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3" s="60">
        <v>0</v>
      </c>
      <c r="N33" s="60"/>
    </row>
    <row r="34" spans="1:14" x14ac:dyDescent="0.25">
      <c r="A34" t="s">
        <v>445</v>
      </c>
      <c r="K3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4" s="60">
        <v>0</v>
      </c>
      <c r="N34" s="60"/>
    </row>
    <row r="35" spans="1:14" x14ac:dyDescent="0.25">
      <c r="A35" t="s">
        <v>446</v>
      </c>
      <c r="K3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5" s="60">
        <v>0</v>
      </c>
      <c r="N35" s="60"/>
    </row>
    <row r="36" spans="1:14" x14ac:dyDescent="0.25">
      <c r="A36" t="s">
        <v>127</v>
      </c>
      <c r="B36" t="s">
        <v>169</v>
      </c>
      <c r="C36" t="s">
        <v>170</v>
      </c>
      <c r="D36" t="s">
        <v>157</v>
      </c>
      <c r="F36" t="s">
        <v>171</v>
      </c>
      <c r="G36" t="s">
        <v>172</v>
      </c>
      <c r="H36" t="s">
        <v>160</v>
      </c>
      <c r="I36" t="s">
        <v>173</v>
      </c>
      <c r="J36" t="s">
        <v>174</v>
      </c>
      <c r="K3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IF ALMENARA - BR 367 KM 7 - Nº: S/N - COMPLEMENTO :  - ZONA RURAL - ALMENARA - MINAS GERAIS  - Contato: SIDNEY - Tel: (38) 3201-3090</v>
      </c>
      <c r="L36" s="59">
        <v>1746.94</v>
      </c>
      <c r="N36" s="60"/>
    </row>
    <row r="37" spans="1:14" x14ac:dyDescent="0.25">
      <c r="A37" t="s">
        <v>447</v>
      </c>
      <c r="K3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7" s="60">
        <v>0</v>
      </c>
      <c r="N37" s="60"/>
    </row>
    <row r="38" spans="1:14" x14ac:dyDescent="0.25">
      <c r="A38" t="s">
        <v>448</v>
      </c>
      <c r="K3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8" s="60">
        <v>0</v>
      </c>
      <c r="N38" s="60"/>
    </row>
    <row r="39" spans="1:14" x14ac:dyDescent="0.25">
      <c r="A39" t="s">
        <v>449</v>
      </c>
      <c r="K3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39" s="60">
        <v>0</v>
      </c>
      <c r="N39" s="60"/>
    </row>
    <row r="40" spans="1:14" x14ac:dyDescent="0.25">
      <c r="A40" t="s">
        <v>128</v>
      </c>
      <c r="B40" t="s">
        <v>175</v>
      </c>
      <c r="C40" t="s">
        <v>176</v>
      </c>
      <c r="D40" t="s">
        <v>177</v>
      </c>
      <c r="F40" t="s">
        <v>171</v>
      </c>
      <c r="G40" t="s">
        <v>178</v>
      </c>
      <c r="H40" t="s">
        <v>166</v>
      </c>
      <c r="I40" t="s">
        <v>259</v>
      </c>
      <c r="J40" t="s">
        <v>179</v>
      </c>
      <c r="K4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IF ARINOS - RODOVIA MG 202  - Nº: KM 407 - COMPLEMENTO :  - ZONA RURAL - ARINOS  - MG - Contato: JOAQUIM - Tel: (38)99239-0248</v>
      </c>
      <c r="L40" s="59">
        <v>3220.81</v>
      </c>
      <c r="N40" s="60"/>
    </row>
    <row r="41" spans="1:14" x14ac:dyDescent="0.25">
      <c r="A41" t="s">
        <v>450</v>
      </c>
      <c r="K4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1" s="60">
        <v>0</v>
      </c>
      <c r="N41" s="60"/>
    </row>
    <row r="42" spans="1:14" x14ac:dyDescent="0.25">
      <c r="A42" t="s">
        <v>451</v>
      </c>
      <c r="K4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2" s="60">
        <v>0</v>
      </c>
      <c r="N42" s="60"/>
    </row>
    <row r="43" spans="1:14" x14ac:dyDescent="0.25">
      <c r="A43" t="s">
        <v>452</v>
      </c>
      <c r="K4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3" s="60">
        <v>0</v>
      </c>
      <c r="N43" s="60"/>
    </row>
    <row r="44" spans="1:14" x14ac:dyDescent="0.25">
      <c r="A44" t="s">
        <v>86</v>
      </c>
      <c r="K4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4" s="60">
        <v>0</v>
      </c>
      <c r="N44" s="60"/>
    </row>
    <row r="45" spans="1:14" x14ac:dyDescent="0.25">
      <c r="A45" t="s">
        <v>129</v>
      </c>
      <c r="K4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5" s="60">
        <v>0</v>
      </c>
      <c r="N45" s="60"/>
    </row>
    <row r="46" spans="1:14" x14ac:dyDescent="0.25">
      <c r="A46" t="s">
        <v>130</v>
      </c>
      <c r="K4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6" s="60">
        <v>783.27</v>
      </c>
      <c r="N46" s="60"/>
    </row>
    <row r="47" spans="1:14" x14ac:dyDescent="0.25">
      <c r="A47" t="s">
        <v>131</v>
      </c>
      <c r="K4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7" s="60">
        <v>783.27</v>
      </c>
      <c r="N47" s="60"/>
    </row>
    <row r="48" spans="1:14" x14ac:dyDescent="0.25">
      <c r="A48" t="s">
        <v>453</v>
      </c>
      <c r="K4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8" s="60">
        <v>0</v>
      </c>
      <c r="N48" s="60"/>
    </row>
    <row r="49" spans="1:14" x14ac:dyDescent="0.25">
      <c r="A49" t="s">
        <v>454</v>
      </c>
      <c r="K4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49" s="60">
        <v>0</v>
      </c>
      <c r="N49" s="60"/>
    </row>
    <row r="50" spans="1:14" x14ac:dyDescent="0.25">
      <c r="A50" t="s">
        <v>455</v>
      </c>
      <c r="K5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0" s="60">
        <v>0</v>
      </c>
      <c r="N50" s="60"/>
    </row>
    <row r="51" spans="1:14" x14ac:dyDescent="0.25">
      <c r="A51" t="s">
        <v>456</v>
      </c>
      <c r="K5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1" s="60">
        <v>0</v>
      </c>
      <c r="N51" s="60"/>
    </row>
    <row r="52" spans="1:14" x14ac:dyDescent="0.25">
      <c r="A52" t="s">
        <v>457</v>
      </c>
      <c r="K5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2" s="60">
        <v>0</v>
      </c>
      <c r="N52" s="60"/>
    </row>
    <row r="53" spans="1:14" x14ac:dyDescent="0.25">
      <c r="A53" t="s">
        <v>132</v>
      </c>
      <c r="B53" t="s">
        <v>180</v>
      </c>
      <c r="C53" t="s">
        <v>181</v>
      </c>
      <c r="D53">
        <v>1355</v>
      </c>
      <c r="F53" t="s">
        <v>182</v>
      </c>
      <c r="G53" t="s">
        <v>183</v>
      </c>
      <c r="H53" t="s">
        <v>184</v>
      </c>
      <c r="I53" t="s">
        <v>185</v>
      </c>
      <c r="J53" t="s">
        <v>186</v>
      </c>
      <c r="K5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IF PIRAPORA - Av. Humberto Mallard - Nº: 1355 - COMPLEMENTO :  - Santos Dumont - PIRAPORA - MINAS GERAIS - Contato: WANDERSON - Tel: (38) 3749-6950</v>
      </c>
      <c r="L53" s="59">
        <v>3013.45</v>
      </c>
      <c r="N53" s="60"/>
    </row>
    <row r="54" spans="1:14" x14ac:dyDescent="0.25">
      <c r="A54" t="s">
        <v>458</v>
      </c>
      <c r="K5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4" s="60">
        <v>0</v>
      </c>
      <c r="N54" s="60"/>
    </row>
    <row r="55" spans="1:14" x14ac:dyDescent="0.25">
      <c r="A55" t="s">
        <v>459</v>
      </c>
      <c r="K5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5" s="60">
        <v>0</v>
      </c>
      <c r="N55" s="60"/>
    </row>
    <row r="56" spans="1:14" x14ac:dyDescent="0.25">
      <c r="A56" t="s">
        <v>460</v>
      </c>
      <c r="K5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6" s="60">
        <v>0</v>
      </c>
      <c r="N56" s="60"/>
    </row>
    <row r="57" spans="1:14" x14ac:dyDescent="0.25">
      <c r="A57" t="s">
        <v>461</v>
      </c>
      <c r="K5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7" s="60">
        <v>0</v>
      </c>
      <c r="N57" s="60"/>
    </row>
    <row r="58" spans="1:14" x14ac:dyDescent="0.25">
      <c r="A58" t="s">
        <v>462</v>
      </c>
      <c r="K5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8" s="60">
        <v>0</v>
      </c>
      <c r="N58" s="60"/>
    </row>
    <row r="59" spans="1:14" x14ac:dyDescent="0.25">
      <c r="A59" t="s">
        <v>87</v>
      </c>
      <c r="K5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59" s="60">
        <v>0</v>
      </c>
      <c r="N59" s="60"/>
    </row>
    <row r="60" spans="1:14" x14ac:dyDescent="0.25">
      <c r="A60" t="s">
        <v>88</v>
      </c>
      <c r="K6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0" s="60">
        <v>0</v>
      </c>
      <c r="N60" s="60"/>
    </row>
    <row r="61" spans="1:14" x14ac:dyDescent="0.25">
      <c r="A61" t="s">
        <v>89</v>
      </c>
      <c r="K6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1" s="60">
        <v>0</v>
      </c>
      <c r="N61" s="60"/>
    </row>
    <row r="62" spans="1:14" x14ac:dyDescent="0.25">
      <c r="A62" t="s">
        <v>133</v>
      </c>
      <c r="K6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2" s="60">
        <v>2578.8000000000002</v>
      </c>
      <c r="N62" s="60"/>
    </row>
    <row r="63" spans="1:14" x14ac:dyDescent="0.25">
      <c r="A63" t="s">
        <v>90</v>
      </c>
      <c r="K6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3" s="60">
        <v>2748</v>
      </c>
      <c r="N63" s="60"/>
    </row>
    <row r="64" spans="1:14" x14ac:dyDescent="0.25">
      <c r="A64" t="s">
        <v>463</v>
      </c>
      <c r="K6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4" s="60">
        <v>0</v>
      </c>
      <c r="N64" s="60"/>
    </row>
    <row r="65" spans="1:14" x14ac:dyDescent="0.25">
      <c r="A65" t="s">
        <v>134</v>
      </c>
      <c r="K6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5" s="60">
        <v>0</v>
      </c>
      <c r="N65" s="60"/>
    </row>
    <row r="66" spans="1:14" x14ac:dyDescent="0.25">
      <c r="A66" t="s">
        <v>91</v>
      </c>
      <c r="K6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6" s="60">
        <v>0</v>
      </c>
      <c r="N66" s="60"/>
    </row>
    <row r="67" spans="1:14" x14ac:dyDescent="0.25">
      <c r="A67" t="s">
        <v>92</v>
      </c>
      <c r="K6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7" s="60">
        <v>0</v>
      </c>
      <c r="N67" s="60"/>
    </row>
    <row r="68" spans="1:14" x14ac:dyDescent="0.25">
      <c r="A68" t="s">
        <v>93</v>
      </c>
      <c r="K6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8" s="60">
        <v>0</v>
      </c>
      <c r="N68" s="60"/>
    </row>
    <row r="69" spans="1:14" x14ac:dyDescent="0.25">
      <c r="A69" t="s">
        <v>94</v>
      </c>
      <c r="K6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69" s="60">
        <v>0</v>
      </c>
      <c r="N69" s="60"/>
    </row>
    <row r="70" spans="1:14" x14ac:dyDescent="0.25">
      <c r="A70" t="s">
        <v>95</v>
      </c>
      <c r="K7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0" s="60">
        <v>0</v>
      </c>
      <c r="N70" s="60"/>
    </row>
    <row r="71" spans="1:14" x14ac:dyDescent="0.25">
      <c r="A71" t="s">
        <v>96</v>
      </c>
      <c r="K7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1" s="60">
        <v>0</v>
      </c>
      <c r="N71" s="60"/>
    </row>
    <row r="72" spans="1:14" x14ac:dyDescent="0.25">
      <c r="A72" t="s">
        <v>97</v>
      </c>
      <c r="K7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2" s="60">
        <v>0</v>
      </c>
      <c r="N72" s="60"/>
    </row>
    <row r="73" spans="1:14" x14ac:dyDescent="0.25">
      <c r="A73" t="s">
        <v>98</v>
      </c>
      <c r="K7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3" s="60">
        <v>0</v>
      </c>
      <c r="N73" s="60"/>
    </row>
    <row r="74" spans="1:14" x14ac:dyDescent="0.25">
      <c r="A74" t="s">
        <v>99</v>
      </c>
      <c r="K7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4" s="60">
        <v>0</v>
      </c>
      <c r="N74" s="60"/>
    </row>
    <row r="75" spans="1:14" x14ac:dyDescent="0.25">
      <c r="A75" t="s">
        <v>100</v>
      </c>
      <c r="K7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5" s="60">
        <v>0</v>
      </c>
      <c r="N75" s="60"/>
    </row>
    <row r="76" spans="1:14" x14ac:dyDescent="0.25">
      <c r="A76" t="s">
        <v>101</v>
      </c>
      <c r="K7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6" s="60">
        <v>0</v>
      </c>
      <c r="N76" s="60"/>
    </row>
    <row r="77" spans="1:14" x14ac:dyDescent="0.25">
      <c r="A77" t="s">
        <v>102</v>
      </c>
      <c r="K7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7" s="60">
        <v>0</v>
      </c>
      <c r="N77" s="60"/>
    </row>
    <row r="78" spans="1:14" x14ac:dyDescent="0.25">
      <c r="A78" t="s">
        <v>103</v>
      </c>
      <c r="K7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8" s="60">
        <v>0</v>
      </c>
      <c r="N78" s="60"/>
    </row>
    <row r="79" spans="1:14" x14ac:dyDescent="0.25">
      <c r="A79" t="s">
        <v>104</v>
      </c>
      <c r="K7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79" s="60">
        <v>0</v>
      </c>
      <c r="N79" s="60"/>
    </row>
    <row r="80" spans="1:14" x14ac:dyDescent="0.25">
      <c r="A80" t="s">
        <v>105</v>
      </c>
      <c r="K8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0" s="60">
        <v>0</v>
      </c>
      <c r="N80" s="60"/>
    </row>
    <row r="81" spans="1:14" x14ac:dyDescent="0.25">
      <c r="A81" t="s">
        <v>464</v>
      </c>
      <c r="K8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1" s="60">
        <v>0</v>
      </c>
      <c r="N81" s="60"/>
    </row>
    <row r="82" spans="1:14" x14ac:dyDescent="0.25">
      <c r="A82" t="s">
        <v>465</v>
      </c>
      <c r="K8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2" s="60">
        <v>0</v>
      </c>
      <c r="N82" s="60"/>
    </row>
    <row r="83" spans="1:14" x14ac:dyDescent="0.25">
      <c r="A83" t="s">
        <v>466</v>
      </c>
      <c r="K8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3" s="60">
        <v>0</v>
      </c>
      <c r="N83" s="60"/>
    </row>
    <row r="84" spans="1:14" x14ac:dyDescent="0.25">
      <c r="A84" t="s">
        <v>106</v>
      </c>
      <c r="K8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4" s="60">
        <v>0</v>
      </c>
      <c r="N84" s="60"/>
    </row>
    <row r="85" spans="1:14" x14ac:dyDescent="0.25">
      <c r="A85" t="s">
        <v>467</v>
      </c>
      <c r="K8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5" s="60">
        <v>0</v>
      </c>
      <c r="N85" s="60"/>
    </row>
    <row r="86" spans="1:14" x14ac:dyDescent="0.25">
      <c r="A86" t="s">
        <v>468</v>
      </c>
      <c r="K8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6" s="60">
        <v>0</v>
      </c>
      <c r="N86" s="60"/>
    </row>
    <row r="87" spans="1:14" x14ac:dyDescent="0.25">
      <c r="A87" t="s">
        <v>469</v>
      </c>
      <c r="K8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7" s="60">
        <v>0</v>
      </c>
      <c r="N87" s="60"/>
    </row>
    <row r="88" spans="1:14" x14ac:dyDescent="0.25">
      <c r="A88" t="s">
        <v>470</v>
      </c>
      <c r="K8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8" s="60">
        <v>0</v>
      </c>
      <c r="N88" s="60"/>
    </row>
    <row r="89" spans="1:14" x14ac:dyDescent="0.25">
      <c r="A89" t="s">
        <v>107</v>
      </c>
      <c r="K8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89" s="60">
        <v>0</v>
      </c>
      <c r="N89" s="60"/>
    </row>
    <row r="90" spans="1:14" x14ac:dyDescent="0.25">
      <c r="A90" t="s">
        <v>471</v>
      </c>
      <c r="K9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0" s="60">
        <v>0</v>
      </c>
      <c r="N90" s="60"/>
    </row>
    <row r="91" spans="1:14" x14ac:dyDescent="0.25">
      <c r="A91" t="s">
        <v>108</v>
      </c>
      <c r="K9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1" s="60">
        <v>0</v>
      </c>
      <c r="N91" s="60"/>
    </row>
    <row r="92" spans="1:14" x14ac:dyDescent="0.25">
      <c r="A92" t="s">
        <v>109</v>
      </c>
      <c r="K9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2" s="60">
        <v>0</v>
      </c>
      <c r="N92" s="60"/>
    </row>
    <row r="93" spans="1:14" x14ac:dyDescent="0.25">
      <c r="A93" t="s">
        <v>247</v>
      </c>
      <c r="K9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3" s="60">
        <v>0</v>
      </c>
      <c r="N93" s="60"/>
    </row>
    <row r="94" spans="1:14" x14ac:dyDescent="0.25">
      <c r="A94" t="s">
        <v>472</v>
      </c>
      <c r="K9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4" s="60">
        <v>0</v>
      </c>
      <c r="N94" s="60"/>
    </row>
    <row r="95" spans="1:14" x14ac:dyDescent="0.25">
      <c r="A95" t="s">
        <v>473</v>
      </c>
      <c r="K9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5" s="60">
        <v>0</v>
      </c>
      <c r="N95" s="60"/>
    </row>
    <row r="96" spans="1:14" x14ac:dyDescent="0.25">
      <c r="A96" t="s">
        <v>474</v>
      </c>
      <c r="K9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6" s="60">
        <v>0</v>
      </c>
      <c r="N96" s="60"/>
    </row>
    <row r="97" spans="1:14" x14ac:dyDescent="0.25">
      <c r="A97" t="s">
        <v>475</v>
      </c>
      <c r="K9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7" s="60">
        <v>0</v>
      </c>
      <c r="N97" s="60"/>
    </row>
    <row r="98" spans="1:14" x14ac:dyDescent="0.25">
      <c r="A98" t="s">
        <v>476</v>
      </c>
      <c r="K9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8" s="60">
        <v>0</v>
      </c>
      <c r="N98" s="60"/>
    </row>
    <row r="99" spans="1:14" x14ac:dyDescent="0.25">
      <c r="A99" t="s">
        <v>477</v>
      </c>
      <c r="K9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99" s="60">
        <v>0</v>
      </c>
      <c r="N99" s="60"/>
    </row>
    <row r="100" spans="1:14" x14ac:dyDescent="0.25">
      <c r="A100" t="s">
        <v>110</v>
      </c>
      <c r="K10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0" s="60">
        <v>0</v>
      </c>
      <c r="N100" s="60"/>
    </row>
    <row r="101" spans="1:14" x14ac:dyDescent="0.25">
      <c r="A101" t="s">
        <v>111</v>
      </c>
      <c r="K10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1" s="60">
        <v>0</v>
      </c>
      <c r="N101" s="60"/>
    </row>
    <row r="102" spans="1:14" x14ac:dyDescent="0.25">
      <c r="A102" t="s">
        <v>478</v>
      </c>
      <c r="K10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2" s="60">
        <v>0</v>
      </c>
      <c r="N102" s="60"/>
    </row>
    <row r="103" spans="1:14" x14ac:dyDescent="0.25">
      <c r="A103" t="s">
        <v>479</v>
      </c>
      <c r="K10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3" s="60">
        <v>0</v>
      </c>
      <c r="N103" s="60"/>
    </row>
    <row r="104" spans="1:14" x14ac:dyDescent="0.25">
      <c r="A104" t="s">
        <v>480</v>
      </c>
      <c r="K10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4" s="60">
        <v>0</v>
      </c>
      <c r="N104" s="60"/>
    </row>
    <row r="105" spans="1:14" x14ac:dyDescent="0.25">
      <c r="A105" t="s">
        <v>481</v>
      </c>
      <c r="K10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5" s="60">
        <v>0</v>
      </c>
      <c r="N105" s="60"/>
    </row>
    <row r="106" spans="1:14" x14ac:dyDescent="0.25">
      <c r="A106" t="s">
        <v>482</v>
      </c>
      <c r="K10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6" s="60">
        <v>0</v>
      </c>
      <c r="N106" s="60"/>
    </row>
    <row r="107" spans="1:14" x14ac:dyDescent="0.25">
      <c r="A107" t="s">
        <v>483</v>
      </c>
      <c r="K10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7" s="60">
        <v>0</v>
      </c>
      <c r="N107" s="60"/>
    </row>
    <row r="108" spans="1:14" x14ac:dyDescent="0.25">
      <c r="A108" t="s">
        <v>484</v>
      </c>
      <c r="K10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8" s="60">
        <v>0</v>
      </c>
      <c r="N108" s="60"/>
    </row>
    <row r="109" spans="1:14" x14ac:dyDescent="0.25">
      <c r="A109" t="s">
        <v>485</v>
      </c>
      <c r="K10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09" s="60">
        <v>0</v>
      </c>
      <c r="N109" s="60"/>
    </row>
    <row r="110" spans="1:14" x14ac:dyDescent="0.25">
      <c r="A110" t="s">
        <v>486</v>
      </c>
      <c r="K11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0" s="60">
        <v>0</v>
      </c>
      <c r="N110" s="60"/>
    </row>
    <row r="111" spans="1:14" x14ac:dyDescent="0.25">
      <c r="A111" t="s">
        <v>487</v>
      </c>
      <c r="K11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1" s="60">
        <v>0</v>
      </c>
      <c r="N111" s="60"/>
    </row>
    <row r="112" spans="1:14" x14ac:dyDescent="0.25">
      <c r="A112" t="s">
        <v>488</v>
      </c>
      <c r="K11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2" s="60">
        <v>0</v>
      </c>
      <c r="N112" s="60"/>
    </row>
    <row r="113" spans="1:14" x14ac:dyDescent="0.25">
      <c r="A113" t="s">
        <v>112</v>
      </c>
      <c r="K11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3" s="60">
        <v>0</v>
      </c>
      <c r="N113" s="60"/>
    </row>
    <row r="114" spans="1:14" x14ac:dyDescent="0.25">
      <c r="A114" t="s">
        <v>113</v>
      </c>
      <c r="K11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4" s="60">
        <v>0</v>
      </c>
      <c r="N114" s="60"/>
    </row>
    <row r="115" spans="1:14" x14ac:dyDescent="0.25">
      <c r="A115" t="s">
        <v>489</v>
      </c>
      <c r="K11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5" s="60">
        <v>0</v>
      </c>
      <c r="N115" s="60"/>
    </row>
    <row r="116" spans="1:14" x14ac:dyDescent="0.25">
      <c r="A116" t="s">
        <v>490</v>
      </c>
      <c r="K11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6" s="60">
        <v>0</v>
      </c>
      <c r="N116" s="60"/>
    </row>
    <row r="117" spans="1:14" x14ac:dyDescent="0.25">
      <c r="A117" t="s">
        <v>491</v>
      </c>
      <c r="K11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7" s="60">
        <v>0</v>
      </c>
      <c r="N117" s="60"/>
    </row>
    <row r="118" spans="1:14" x14ac:dyDescent="0.25">
      <c r="A118" t="s">
        <v>492</v>
      </c>
      <c r="K11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8" s="60">
        <v>0</v>
      </c>
      <c r="N118" s="60"/>
    </row>
    <row r="119" spans="1:14" x14ac:dyDescent="0.25">
      <c r="A119" t="s">
        <v>493</v>
      </c>
      <c r="K11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19" s="60">
        <v>0</v>
      </c>
      <c r="N119" s="60"/>
    </row>
    <row r="120" spans="1:14" x14ac:dyDescent="0.25">
      <c r="A120" t="s">
        <v>135</v>
      </c>
      <c r="K12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0" s="60">
        <v>6200.88</v>
      </c>
      <c r="N120" s="60"/>
    </row>
    <row r="121" spans="1:14" x14ac:dyDescent="0.25">
      <c r="A121" t="s">
        <v>494</v>
      </c>
      <c r="K12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1" s="60">
        <v>0</v>
      </c>
      <c r="N121" s="60"/>
    </row>
    <row r="122" spans="1:14" x14ac:dyDescent="0.25">
      <c r="A122" t="s">
        <v>495</v>
      </c>
      <c r="K12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2" s="60">
        <v>0</v>
      </c>
      <c r="N122" s="60"/>
    </row>
    <row r="123" spans="1:14" x14ac:dyDescent="0.25">
      <c r="A123" t="s">
        <v>496</v>
      </c>
      <c r="K12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3" s="60">
        <v>0</v>
      </c>
      <c r="N123" s="60"/>
    </row>
    <row r="124" spans="1:14" x14ac:dyDescent="0.25">
      <c r="A124" t="s">
        <v>497</v>
      </c>
      <c r="K12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4" s="60">
        <v>0</v>
      </c>
      <c r="N124" s="60"/>
    </row>
    <row r="125" spans="1:14" x14ac:dyDescent="0.25">
      <c r="A125" t="s">
        <v>136</v>
      </c>
      <c r="K12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5" s="60">
        <v>4844</v>
      </c>
      <c r="N125" s="60"/>
    </row>
    <row r="126" spans="1:14" x14ac:dyDescent="0.25">
      <c r="A126" t="s">
        <v>498</v>
      </c>
      <c r="K12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6" s="60">
        <v>0</v>
      </c>
      <c r="N126" s="60"/>
    </row>
    <row r="127" spans="1:14" x14ac:dyDescent="0.25">
      <c r="A127" t="s">
        <v>248</v>
      </c>
      <c r="K12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7" s="60">
        <v>0</v>
      </c>
      <c r="N127" s="60"/>
    </row>
    <row r="128" spans="1:14" x14ac:dyDescent="0.25">
      <c r="A128" t="s">
        <v>249</v>
      </c>
      <c r="K12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8" s="60">
        <v>0</v>
      </c>
      <c r="N128" s="60"/>
    </row>
    <row r="129" spans="1:14" x14ac:dyDescent="0.25">
      <c r="A129" t="s">
        <v>499</v>
      </c>
      <c r="K12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29" s="60">
        <v>0</v>
      </c>
      <c r="N129" s="60"/>
    </row>
    <row r="130" spans="1:14" x14ac:dyDescent="0.25">
      <c r="A130" t="s">
        <v>500</v>
      </c>
      <c r="K13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0" s="60">
        <v>0</v>
      </c>
      <c r="N130" s="60"/>
    </row>
    <row r="131" spans="1:14" x14ac:dyDescent="0.25">
      <c r="A131" t="s">
        <v>501</v>
      </c>
      <c r="K13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1" s="60">
        <v>0</v>
      </c>
      <c r="N131" s="60"/>
    </row>
    <row r="132" spans="1:14" x14ac:dyDescent="0.25">
      <c r="A132" t="s">
        <v>137</v>
      </c>
      <c r="K13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2" s="60">
        <v>0</v>
      </c>
      <c r="N132" s="60"/>
    </row>
    <row r="133" spans="1:14" x14ac:dyDescent="0.25">
      <c r="A133" t="s">
        <v>502</v>
      </c>
      <c r="K13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3" s="60">
        <v>0</v>
      </c>
      <c r="N133" s="60"/>
    </row>
    <row r="134" spans="1:14" x14ac:dyDescent="0.25">
      <c r="A134" t="s">
        <v>503</v>
      </c>
      <c r="K13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4" s="60">
        <v>0</v>
      </c>
      <c r="N134" s="60"/>
    </row>
    <row r="135" spans="1:14" x14ac:dyDescent="0.25">
      <c r="A135" t="s">
        <v>504</v>
      </c>
      <c r="K13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5" s="60">
        <v>0</v>
      </c>
      <c r="N135" s="60"/>
    </row>
    <row r="136" spans="1:14" x14ac:dyDescent="0.25">
      <c r="A136" t="s">
        <v>505</v>
      </c>
      <c r="K13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6" s="60">
        <v>0</v>
      </c>
      <c r="N136" s="60"/>
    </row>
    <row r="137" spans="1:14" x14ac:dyDescent="0.25">
      <c r="A137" t="s">
        <v>138</v>
      </c>
      <c r="K13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7" s="60">
        <v>0</v>
      </c>
      <c r="N137" s="60"/>
    </row>
    <row r="138" spans="1:14" x14ac:dyDescent="0.25">
      <c r="A138" t="s">
        <v>506</v>
      </c>
      <c r="K13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8" s="60">
        <v>0</v>
      </c>
      <c r="N138" s="60"/>
    </row>
    <row r="139" spans="1:14" x14ac:dyDescent="0.25">
      <c r="A139" t="s">
        <v>507</v>
      </c>
      <c r="K13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39" s="60">
        <v>0</v>
      </c>
      <c r="N139" s="60"/>
    </row>
    <row r="140" spans="1:14" x14ac:dyDescent="0.25">
      <c r="A140" t="s">
        <v>508</v>
      </c>
      <c r="K14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0" s="60">
        <v>0</v>
      </c>
      <c r="N140" s="60"/>
    </row>
    <row r="141" spans="1:14" x14ac:dyDescent="0.25">
      <c r="A141" t="s">
        <v>139</v>
      </c>
      <c r="K14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1" s="60">
        <v>0</v>
      </c>
      <c r="N141" s="60"/>
    </row>
    <row r="142" spans="1:14" x14ac:dyDescent="0.25">
      <c r="A142" t="s">
        <v>509</v>
      </c>
      <c r="K14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2" s="60">
        <v>0</v>
      </c>
      <c r="N142" s="60"/>
    </row>
    <row r="143" spans="1:14" x14ac:dyDescent="0.25">
      <c r="A143" t="s">
        <v>510</v>
      </c>
      <c r="K14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3" s="60">
        <v>0</v>
      </c>
      <c r="N143" s="60"/>
    </row>
    <row r="144" spans="1:14" x14ac:dyDescent="0.25">
      <c r="A144" t="s">
        <v>511</v>
      </c>
      <c r="K14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4" s="60">
        <v>0</v>
      </c>
      <c r="N144" s="60"/>
    </row>
    <row r="145" spans="1:14" x14ac:dyDescent="0.25">
      <c r="A145" t="s">
        <v>512</v>
      </c>
      <c r="K14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5" s="60">
        <v>0</v>
      </c>
      <c r="N145" s="60"/>
    </row>
    <row r="146" spans="1:14" x14ac:dyDescent="0.25">
      <c r="A146" t="s">
        <v>140</v>
      </c>
      <c r="B146" t="s">
        <v>187</v>
      </c>
      <c r="C146" t="s">
        <v>188</v>
      </c>
      <c r="D146">
        <v>74</v>
      </c>
      <c r="F146" t="s">
        <v>189</v>
      </c>
      <c r="G146" t="s">
        <v>165</v>
      </c>
      <c r="H146" t="s">
        <v>160</v>
      </c>
      <c r="I146" t="s">
        <v>190</v>
      </c>
      <c r="J146" t="s">
        <v>168</v>
      </c>
      <c r="K14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UFSJ - Praça Dom Helvécio - Nº: 74 - COMPLEMENTO :  - DOM BOSCO - SÃO JOÃO DEL REI - MINAS GERAIS  - Contato: HOSANA - Tel: (32) 99977-2483</v>
      </c>
      <c r="L146" s="60">
        <v>0</v>
      </c>
      <c r="N146" s="60"/>
    </row>
    <row r="147" spans="1:14" x14ac:dyDescent="0.25">
      <c r="A147" t="s">
        <v>513</v>
      </c>
      <c r="K14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7" s="60">
        <v>0</v>
      </c>
      <c r="N147" s="60"/>
    </row>
    <row r="148" spans="1:14" x14ac:dyDescent="0.25">
      <c r="A148" t="s">
        <v>141</v>
      </c>
      <c r="B148" t="s">
        <v>187</v>
      </c>
      <c r="C148" t="s">
        <v>191</v>
      </c>
      <c r="D148">
        <v>170</v>
      </c>
      <c r="F148" t="s">
        <v>158</v>
      </c>
      <c r="G148" t="s">
        <v>165</v>
      </c>
      <c r="H148" t="s">
        <v>160</v>
      </c>
      <c r="I148" t="s">
        <v>190</v>
      </c>
      <c r="J148" t="s">
        <v>168</v>
      </c>
      <c r="K14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UFSJ - Praça Frei Horlando - Nº: 170 - COMPLEMENTO :  - CENTRO - SÃO JOÃO DEL REI - MINAS GERAIS  - Contato: HOSANA - Tel: (32) 99977-2483</v>
      </c>
      <c r="L148" s="60">
        <v>0</v>
      </c>
      <c r="N148" s="60"/>
    </row>
    <row r="149" spans="1:14" x14ac:dyDescent="0.25">
      <c r="A149" t="s">
        <v>514</v>
      </c>
      <c r="K149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49" s="60">
        <v>0</v>
      </c>
      <c r="N149" s="60"/>
    </row>
    <row r="150" spans="1:14" x14ac:dyDescent="0.25">
      <c r="A150" t="s">
        <v>142</v>
      </c>
      <c r="B150" t="s">
        <v>187</v>
      </c>
      <c r="C150" t="s">
        <v>192</v>
      </c>
      <c r="D150" t="s">
        <v>157</v>
      </c>
      <c r="F150" t="s">
        <v>193</v>
      </c>
      <c r="G150" t="s">
        <v>165</v>
      </c>
      <c r="H150" t="s">
        <v>160</v>
      </c>
      <c r="I150" t="s">
        <v>190</v>
      </c>
      <c r="J150" t="s">
        <v>168</v>
      </c>
      <c r="K150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>UFSJ - Avenida Visconde do Rio Preto - Nº: S/N - COMPLEMENTO :  - COLONIA DO BENGO - SÃO JOÃO DEL REI - MINAS GERAIS  - Contato: HOSANA - Tel: (32) 99977-2483</v>
      </c>
      <c r="L150" s="60">
        <v>0</v>
      </c>
      <c r="N150" s="60"/>
    </row>
    <row r="151" spans="1:14" x14ac:dyDescent="0.25">
      <c r="A151" t="s">
        <v>515</v>
      </c>
      <c r="K151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1" s="60">
        <v>0</v>
      </c>
      <c r="N151" s="60"/>
    </row>
    <row r="152" spans="1:14" x14ac:dyDescent="0.25">
      <c r="A152" t="s">
        <v>114</v>
      </c>
      <c r="K152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2" s="60">
        <v>0</v>
      </c>
      <c r="N152" s="60"/>
    </row>
    <row r="153" spans="1:14" x14ac:dyDescent="0.25">
      <c r="A153" t="s">
        <v>143</v>
      </c>
      <c r="K153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3" s="60">
        <v>11045</v>
      </c>
      <c r="N153" s="60"/>
    </row>
    <row r="154" spans="1:14" x14ac:dyDescent="0.25">
      <c r="A154" t="s">
        <v>144</v>
      </c>
      <c r="K154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4" s="60">
        <v>0</v>
      </c>
      <c r="N154" s="60"/>
    </row>
    <row r="155" spans="1:14" x14ac:dyDescent="0.25">
      <c r="A155" t="s">
        <v>516</v>
      </c>
      <c r="K155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5" s="60">
        <v>0</v>
      </c>
      <c r="N155" s="60"/>
    </row>
    <row r="156" spans="1:14" x14ac:dyDescent="0.25">
      <c r="A156" t="s">
        <v>115</v>
      </c>
      <c r="K156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6" s="60">
        <v>0</v>
      </c>
      <c r="N156" s="60"/>
    </row>
    <row r="157" spans="1:14" x14ac:dyDescent="0.25">
      <c r="A157" t="s">
        <v>116</v>
      </c>
      <c r="K157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7" s="60">
        <v>0</v>
      </c>
      <c r="N157" s="60"/>
    </row>
    <row r="158" spans="1:14" x14ac:dyDescent="0.25">
      <c r="A158" t="s">
        <v>117</v>
      </c>
      <c r="K158" t="str">
        <f>IF(Tabela_Consulta_de_vetorh[[#This Row],[LOCAL]] = "","",CONCATENATE(Tabela_Consulta_de_vetorh[[#This Row],[LOCAL]]," - ",Tabela_Consulta_de_vetorh[[#This Row],[RUA]]," - ","Nº: ",Tabela_Consulta_de_vetorh[[#This Row],[NUMERO]]," - COMPLEMENTO : ",Tabela_Consulta_de_vetorh[[#This Row],[COMPLETO]]," - ",Tabela_Consulta_de_vetorh[[#This Row],[BAIRRO]]," - ",Tabela_Consulta_de_vetorh[[#This Row],[CIDADE]]," - ",Tabela_Consulta_de_vetorh[[#This Row],[ESTADO]]," - ","Contato: ",Tabela_Consulta_de_vetorh[[#This Row],[CONTATO]]," - ","Tel: ",Tabela_Consulta_de_vetorh[[#This Row],[TELEFONE]]))</f>
        <v/>
      </c>
      <c r="L158" s="60">
        <v>0</v>
      </c>
      <c r="N158" s="60"/>
    </row>
  </sheetData>
  <phoneticPr fontId="2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8D3E7-9FED-4763-9960-C5EC9FF34DAC}">
  <sheetPr codeName="Planilha5">
    <tabColor rgb="FFFF0000"/>
  </sheetPr>
  <dimension ref="A1:D140"/>
  <sheetViews>
    <sheetView topLeftCell="A124" workbookViewId="0"/>
  </sheetViews>
  <sheetFormatPr defaultRowHeight="15" x14ac:dyDescent="0.25"/>
  <cols>
    <col min="1" max="1" width="14.28515625" bestFit="1" customWidth="1"/>
    <col min="2" max="2" width="54.5703125" bestFit="1" customWidth="1"/>
    <col min="3" max="3" width="43.85546875" bestFit="1" customWidth="1"/>
    <col min="4" max="4" width="13.28515625" style="60" bestFit="1" customWidth="1"/>
  </cols>
  <sheetData>
    <row r="1" spans="1:4" x14ac:dyDescent="0.25">
      <c r="A1" t="s">
        <v>267</v>
      </c>
      <c r="B1" t="s">
        <v>63</v>
      </c>
      <c r="C1" t="s">
        <v>268</v>
      </c>
      <c r="D1" s="60" t="s">
        <v>269</v>
      </c>
    </row>
    <row r="2" spans="1:4" x14ac:dyDescent="0.25">
      <c r="A2" s="61" t="s">
        <v>270</v>
      </c>
      <c r="B2" s="61" t="s">
        <v>143</v>
      </c>
      <c r="C2" s="61" t="s">
        <v>271</v>
      </c>
      <c r="D2" s="60">
        <v>4401.6000000000004</v>
      </c>
    </row>
    <row r="3" spans="1:4" x14ac:dyDescent="0.25">
      <c r="A3" s="61" t="s">
        <v>272</v>
      </c>
      <c r="B3" s="61" t="s">
        <v>135</v>
      </c>
      <c r="C3" s="61" t="s">
        <v>271</v>
      </c>
      <c r="D3" s="60">
        <v>2249.9499999999998</v>
      </c>
    </row>
    <row r="4" spans="1:4" x14ac:dyDescent="0.25">
      <c r="A4" s="61" t="s">
        <v>272</v>
      </c>
      <c r="B4" s="61" t="s">
        <v>136</v>
      </c>
      <c r="C4" s="61" t="s">
        <v>271</v>
      </c>
      <c r="D4" s="60">
        <v>1801.9</v>
      </c>
    </row>
    <row r="5" spans="1:4" x14ac:dyDescent="0.25">
      <c r="A5" s="61" t="s">
        <v>272</v>
      </c>
      <c r="B5" s="61" t="s">
        <v>136</v>
      </c>
      <c r="C5" s="61" t="s">
        <v>271</v>
      </c>
      <c r="D5" s="60">
        <v>1801.9</v>
      </c>
    </row>
    <row r="6" spans="1:4" x14ac:dyDescent="0.25">
      <c r="A6" s="61" t="s">
        <v>273</v>
      </c>
      <c r="B6" s="61" t="s">
        <v>139</v>
      </c>
      <c r="C6" s="61" t="s">
        <v>194</v>
      </c>
      <c r="D6" s="60">
        <v>1861.38</v>
      </c>
    </row>
    <row r="7" spans="1:4" x14ac:dyDescent="0.25">
      <c r="A7" s="61" t="s">
        <v>274</v>
      </c>
      <c r="B7" s="61" t="s">
        <v>139</v>
      </c>
      <c r="C7" s="61" t="s">
        <v>218</v>
      </c>
      <c r="D7" s="60">
        <v>937.74</v>
      </c>
    </row>
    <row r="8" spans="1:4" x14ac:dyDescent="0.25">
      <c r="A8" s="61" t="s">
        <v>275</v>
      </c>
      <c r="B8" s="61" t="s">
        <v>139</v>
      </c>
      <c r="C8" s="61" t="s">
        <v>206</v>
      </c>
      <c r="D8" s="60">
        <v>89.5</v>
      </c>
    </row>
    <row r="9" spans="1:4" x14ac:dyDescent="0.25">
      <c r="A9" s="61" t="s">
        <v>276</v>
      </c>
      <c r="B9" s="61" t="s">
        <v>134</v>
      </c>
      <c r="C9" s="61" t="s">
        <v>202</v>
      </c>
      <c r="D9" s="60">
        <v>2162.5</v>
      </c>
    </row>
    <row r="10" spans="1:4" x14ac:dyDescent="0.25">
      <c r="A10" s="61" t="s">
        <v>277</v>
      </c>
      <c r="B10" s="61" t="s">
        <v>144</v>
      </c>
      <c r="C10" s="61" t="s">
        <v>271</v>
      </c>
      <c r="D10" s="60">
        <v>152</v>
      </c>
    </row>
    <row r="11" spans="1:4" x14ac:dyDescent="0.25">
      <c r="A11" s="61" t="s">
        <v>278</v>
      </c>
      <c r="B11" s="61" t="s">
        <v>126</v>
      </c>
      <c r="C11" s="61" t="s">
        <v>72</v>
      </c>
      <c r="D11" s="60">
        <v>291</v>
      </c>
    </row>
    <row r="12" spans="1:4" x14ac:dyDescent="0.25">
      <c r="A12" s="61" t="s">
        <v>279</v>
      </c>
      <c r="B12" s="61" t="s">
        <v>144</v>
      </c>
      <c r="C12" s="61" t="s">
        <v>210</v>
      </c>
      <c r="D12" s="60">
        <v>1058</v>
      </c>
    </row>
    <row r="13" spans="1:4" x14ac:dyDescent="0.25">
      <c r="A13" s="61" t="s">
        <v>280</v>
      </c>
      <c r="B13" s="61" t="s">
        <v>281</v>
      </c>
      <c r="C13" s="61" t="s">
        <v>282</v>
      </c>
      <c r="D13" s="60">
        <v>2066.98</v>
      </c>
    </row>
    <row r="14" spans="1:4" x14ac:dyDescent="0.25">
      <c r="A14" s="61" t="s">
        <v>283</v>
      </c>
      <c r="B14" s="61" t="s">
        <v>284</v>
      </c>
      <c r="C14" s="61" t="s">
        <v>282</v>
      </c>
      <c r="D14" s="60">
        <v>319.66000000000003</v>
      </c>
    </row>
    <row r="15" spans="1:4" x14ac:dyDescent="0.25">
      <c r="A15" s="61" t="s">
        <v>285</v>
      </c>
      <c r="B15" s="61" t="s">
        <v>125</v>
      </c>
      <c r="C15" s="61" t="s">
        <v>282</v>
      </c>
      <c r="D15" s="60">
        <v>547.55999999999995</v>
      </c>
    </row>
    <row r="16" spans="1:4" x14ac:dyDescent="0.25">
      <c r="A16" s="61" t="s">
        <v>286</v>
      </c>
      <c r="B16" s="61" t="s">
        <v>139</v>
      </c>
      <c r="C16" s="61" t="s">
        <v>206</v>
      </c>
      <c r="D16" s="60">
        <v>146.94999999999999</v>
      </c>
    </row>
    <row r="17" spans="1:4" x14ac:dyDescent="0.25">
      <c r="A17" s="61" t="s">
        <v>287</v>
      </c>
      <c r="B17" s="61" t="s">
        <v>128</v>
      </c>
      <c r="C17" s="61" t="s">
        <v>282</v>
      </c>
      <c r="D17" s="60">
        <v>863.75</v>
      </c>
    </row>
    <row r="18" spans="1:4" x14ac:dyDescent="0.25">
      <c r="A18" s="61" t="s">
        <v>288</v>
      </c>
      <c r="B18" s="61" t="s">
        <v>132</v>
      </c>
      <c r="C18" s="61" t="s">
        <v>271</v>
      </c>
      <c r="D18" s="60">
        <v>2531.75</v>
      </c>
    </row>
    <row r="19" spans="1:4" x14ac:dyDescent="0.25">
      <c r="A19" s="61" t="s">
        <v>289</v>
      </c>
      <c r="B19" s="61" t="s">
        <v>82</v>
      </c>
      <c r="C19" s="61" t="s">
        <v>282</v>
      </c>
      <c r="D19" s="60">
        <v>78.400000000000006</v>
      </c>
    </row>
    <row r="20" spans="1:4" x14ac:dyDescent="0.25">
      <c r="A20" s="61" t="s">
        <v>290</v>
      </c>
      <c r="B20" s="61" t="s">
        <v>124</v>
      </c>
      <c r="C20" s="61" t="s">
        <v>282</v>
      </c>
      <c r="D20" s="60">
        <v>444.15800000000002</v>
      </c>
    </row>
    <row r="21" spans="1:4" x14ac:dyDescent="0.25">
      <c r="A21" s="61" t="s">
        <v>291</v>
      </c>
      <c r="B21" s="61" t="s">
        <v>127</v>
      </c>
      <c r="C21" s="61" t="s">
        <v>292</v>
      </c>
      <c r="D21" s="60">
        <v>100</v>
      </c>
    </row>
    <row r="22" spans="1:4" x14ac:dyDescent="0.25">
      <c r="A22" s="61" t="s">
        <v>293</v>
      </c>
      <c r="B22" s="61" t="s">
        <v>141</v>
      </c>
      <c r="C22" s="61" t="s">
        <v>294</v>
      </c>
      <c r="D22" s="60">
        <v>1150</v>
      </c>
    </row>
    <row r="23" spans="1:4" x14ac:dyDescent="0.25">
      <c r="A23" s="61" t="s">
        <v>295</v>
      </c>
      <c r="B23" s="61" t="s">
        <v>140</v>
      </c>
      <c r="C23" s="61" t="s">
        <v>145</v>
      </c>
      <c r="D23" s="60">
        <v>5959.08</v>
      </c>
    </row>
    <row r="24" spans="1:4" x14ac:dyDescent="0.25">
      <c r="A24" s="61" t="s">
        <v>296</v>
      </c>
      <c r="B24" s="61" t="s">
        <v>141</v>
      </c>
      <c r="C24" s="61" t="s">
        <v>145</v>
      </c>
      <c r="D24" s="60">
        <v>5264.33</v>
      </c>
    </row>
    <row r="25" spans="1:4" x14ac:dyDescent="0.25">
      <c r="A25" s="61" t="s">
        <v>297</v>
      </c>
      <c r="B25" s="61" t="s">
        <v>142</v>
      </c>
      <c r="C25" s="61" t="s">
        <v>145</v>
      </c>
      <c r="D25" s="60">
        <v>5644.48</v>
      </c>
    </row>
    <row r="26" spans="1:4" x14ac:dyDescent="0.25">
      <c r="A26" s="61" t="s">
        <v>298</v>
      </c>
      <c r="B26" s="61" t="s">
        <v>141</v>
      </c>
      <c r="C26" s="61" t="s">
        <v>299</v>
      </c>
      <c r="D26" s="60">
        <v>57</v>
      </c>
    </row>
    <row r="27" spans="1:4" x14ac:dyDescent="0.25">
      <c r="A27" s="61" t="s">
        <v>300</v>
      </c>
      <c r="B27" s="61" t="s">
        <v>141</v>
      </c>
      <c r="C27" s="61" t="s">
        <v>282</v>
      </c>
      <c r="D27" s="60">
        <v>390</v>
      </c>
    </row>
    <row r="28" spans="1:4" x14ac:dyDescent="0.25">
      <c r="A28" s="61" t="s">
        <v>301</v>
      </c>
      <c r="B28" s="61" t="s">
        <v>144</v>
      </c>
      <c r="C28" s="61" t="s">
        <v>302</v>
      </c>
      <c r="D28" s="60">
        <v>100</v>
      </c>
    </row>
    <row r="29" spans="1:4" x14ac:dyDescent="0.25">
      <c r="A29" s="61" t="s">
        <v>303</v>
      </c>
      <c r="B29" s="61" t="s">
        <v>144</v>
      </c>
      <c r="C29" s="61" t="s">
        <v>302</v>
      </c>
      <c r="D29" s="60">
        <v>60</v>
      </c>
    </row>
    <row r="30" spans="1:4" x14ac:dyDescent="0.25">
      <c r="A30" s="61" t="s">
        <v>304</v>
      </c>
      <c r="B30" s="61" t="s">
        <v>139</v>
      </c>
      <c r="C30" s="61" t="s">
        <v>305</v>
      </c>
      <c r="D30" s="60">
        <v>247.51</v>
      </c>
    </row>
    <row r="31" spans="1:4" x14ac:dyDescent="0.25">
      <c r="A31" s="61" t="s">
        <v>306</v>
      </c>
      <c r="B31" s="61" t="s">
        <v>143</v>
      </c>
      <c r="C31" s="61" t="s">
        <v>271</v>
      </c>
      <c r="D31" s="60">
        <v>4040.6</v>
      </c>
    </row>
    <row r="32" spans="1:4" x14ac:dyDescent="0.25">
      <c r="A32" s="61" t="s">
        <v>307</v>
      </c>
      <c r="B32" s="61" t="s">
        <v>133</v>
      </c>
      <c r="C32" s="61" t="s">
        <v>282</v>
      </c>
      <c r="D32" s="60">
        <v>1419.22</v>
      </c>
    </row>
    <row r="33" spans="1:4" x14ac:dyDescent="0.25">
      <c r="A33" s="61" t="s">
        <v>308</v>
      </c>
      <c r="B33" s="61" t="s">
        <v>131</v>
      </c>
      <c r="C33" s="61" t="s">
        <v>282</v>
      </c>
      <c r="D33" s="60">
        <v>602.75</v>
      </c>
    </row>
    <row r="34" spans="1:4" x14ac:dyDescent="0.25">
      <c r="A34" s="61" t="s">
        <v>309</v>
      </c>
      <c r="B34" s="61" t="s">
        <v>123</v>
      </c>
      <c r="C34" s="61" t="s">
        <v>282</v>
      </c>
      <c r="D34" s="60">
        <v>245.3</v>
      </c>
    </row>
    <row r="35" spans="1:4" x14ac:dyDescent="0.25">
      <c r="A35" s="61" t="s">
        <v>310</v>
      </c>
      <c r="B35" s="61" t="s">
        <v>124</v>
      </c>
      <c r="C35" s="61" t="s">
        <v>282</v>
      </c>
      <c r="D35" s="60">
        <v>531.85400000000004</v>
      </c>
    </row>
    <row r="36" spans="1:4" x14ac:dyDescent="0.25">
      <c r="A36" s="61" t="s">
        <v>311</v>
      </c>
      <c r="B36" s="61" t="s">
        <v>134</v>
      </c>
      <c r="C36" s="61" t="s">
        <v>202</v>
      </c>
      <c r="D36" s="60">
        <v>1953.22</v>
      </c>
    </row>
    <row r="37" spans="1:4" x14ac:dyDescent="0.25">
      <c r="A37" s="61" t="s">
        <v>312</v>
      </c>
      <c r="B37" s="61" t="s">
        <v>135</v>
      </c>
      <c r="C37" s="61" t="s">
        <v>230</v>
      </c>
      <c r="D37" s="60">
        <v>1658.74</v>
      </c>
    </row>
    <row r="38" spans="1:4" x14ac:dyDescent="0.25">
      <c r="A38" s="61" t="s">
        <v>313</v>
      </c>
      <c r="B38" s="61" t="s">
        <v>136</v>
      </c>
      <c r="C38" s="61" t="s">
        <v>271</v>
      </c>
      <c r="D38" s="60">
        <v>1911.11</v>
      </c>
    </row>
    <row r="39" spans="1:4" x14ac:dyDescent="0.25">
      <c r="A39" s="61" t="s">
        <v>314</v>
      </c>
      <c r="B39" s="61" t="s">
        <v>128</v>
      </c>
      <c r="C39" s="61" t="s">
        <v>282</v>
      </c>
      <c r="D39" s="60">
        <v>1596.49</v>
      </c>
    </row>
    <row r="40" spans="1:4" x14ac:dyDescent="0.25">
      <c r="A40" s="61" t="s">
        <v>315</v>
      </c>
      <c r="B40" s="61" t="s">
        <v>127</v>
      </c>
      <c r="C40" s="61" t="s">
        <v>230</v>
      </c>
      <c r="D40" s="60">
        <v>1660.39</v>
      </c>
    </row>
    <row r="41" spans="1:4" x14ac:dyDescent="0.25">
      <c r="A41" s="61" t="s">
        <v>316</v>
      </c>
      <c r="B41" s="61" t="s">
        <v>132</v>
      </c>
      <c r="C41" s="61" t="s">
        <v>282</v>
      </c>
      <c r="D41" s="60">
        <v>2955.6</v>
      </c>
    </row>
    <row r="42" spans="1:4" x14ac:dyDescent="0.25">
      <c r="A42" s="61" t="s">
        <v>317</v>
      </c>
      <c r="B42" s="61" t="s">
        <v>281</v>
      </c>
      <c r="C42" s="61" t="s">
        <v>282</v>
      </c>
      <c r="D42" s="60">
        <v>2358.56</v>
      </c>
    </row>
    <row r="43" spans="1:4" x14ac:dyDescent="0.25">
      <c r="A43" s="61" t="s">
        <v>318</v>
      </c>
      <c r="B43" s="61" t="s">
        <v>284</v>
      </c>
      <c r="C43" s="61" t="s">
        <v>282</v>
      </c>
      <c r="D43" s="60">
        <v>215.97</v>
      </c>
    </row>
    <row r="44" spans="1:4" x14ac:dyDescent="0.25">
      <c r="A44" s="61" t="s">
        <v>319</v>
      </c>
      <c r="B44" s="61" t="s">
        <v>82</v>
      </c>
      <c r="C44" s="61" t="s">
        <v>282</v>
      </c>
      <c r="D44" s="60">
        <v>246</v>
      </c>
    </row>
    <row r="45" spans="1:4" x14ac:dyDescent="0.25">
      <c r="A45" s="61" t="s">
        <v>320</v>
      </c>
      <c r="B45" s="61" t="s">
        <v>82</v>
      </c>
      <c r="C45" s="61" t="s">
        <v>194</v>
      </c>
      <c r="D45" s="60">
        <v>727.85</v>
      </c>
    </row>
    <row r="46" spans="1:4" x14ac:dyDescent="0.25">
      <c r="A46" s="61" t="s">
        <v>321</v>
      </c>
      <c r="B46" s="61" t="s">
        <v>82</v>
      </c>
      <c r="C46" s="61" t="s">
        <v>194</v>
      </c>
      <c r="D46" s="60">
        <v>309.75</v>
      </c>
    </row>
    <row r="47" spans="1:4" x14ac:dyDescent="0.25">
      <c r="A47" s="61" t="s">
        <v>322</v>
      </c>
      <c r="B47" s="61" t="s">
        <v>138</v>
      </c>
      <c r="C47" s="61" t="s">
        <v>323</v>
      </c>
      <c r="D47" s="60">
        <v>39.001199999999997</v>
      </c>
    </row>
    <row r="48" spans="1:4" x14ac:dyDescent="0.25">
      <c r="A48" s="61" t="s">
        <v>324</v>
      </c>
      <c r="B48" s="61" t="s">
        <v>139</v>
      </c>
      <c r="C48" s="61" t="s">
        <v>325</v>
      </c>
      <c r="D48" s="60">
        <v>55.72</v>
      </c>
    </row>
    <row r="49" spans="1:4" x14ac:dyDescent="0.25">
      <c r="A49" s="61" t="s">
        <v>326</v>
      </c>
      <c r="B49" s="61" t="s">
        <v>327</v>
      </c>
      <c r="C49" s="61" t="s">
        <v>282</v>
      </c>
      <c r="D49" s="60">
        <v>385.84</v>
      </c>
    </row>
    <row r="50" spans="1:4" x14ac:dyDescent="0.25">
      <c r="A50" s="61" t="s">
        <v>328</v>
      </c>
      <c r="B50" s="61" t="s">
        <v>329</v>
      </c>
      <c r="C50" s="61" t="s">
        <v>282</v>
      </c>
      <c r="D50" s="60">
        <v>423.09</v>
      </c>
    </row>
    <row r="51" spans="1:4" x14ac:dyDescent="0.25">
      <c r="A51" s="61" t="s">
        <v>330</v>
      </c>
      <c r="B51" s="61" t="s">
        <v>139</v>
      </c>
      <c r="C51" s="61" t="s">
        <v>305</v>
      </c>
      <c r="D51" s="60">
        <v>247.51</v>
      </c>
    </row>
    <row r="52" spans="1:4" x14ac:dyDescent="0.25">
      <c r="A52" s="61" t="s">
        <v>331</v>
      </c>
      <c r="B52" s="61" t="s">
        <v>127</v>
      </c>
      <c r="C52" s="61" t="s">
        <v>332</v>
      </c>
      <c r="D52" s="60">
        <v>74.900000000000006</v>
      </c>
    </row>
    <row r="53" spans="1:4" x14ac:dyDescent="0.25">
      <c r="A53" s="61" t="s">
        <v>333</v>
      </c>
      <c r="B53" s="61" t="s">
        <v>142</v>
      </c>
      <c r="C53" s="61" t="s">
        <v>145</v>
      </c>
      <c r="D53" s="60">
        <v>3557.35</v>
      </c>
    </row>
    <row r="54" spans="1:4" x14ac:dyDescent="0.25">
      <c r="A54" s="61" t="s">
        <v>334</v>
      </c>
      <c r="B54" s="61" t="s">
        <v>140</v>
      </c>
      <c r="C54" s="61" t="s">
        <v>145</v>
      </c>
      <c r="D54" s="60">
        <v>6560.04</v>
      </c>
    </row>
    <row r="55" spans="1:4" x14ac:dyDescent="0.25">
      <c r="A55" s="61" t="s">
        <v>335</v>
      </c>
      <c r="B55" s="61" t="s">
        <v>141</v>
      </c>
      <c r="C55" s="61" t="s">
        <v>145</v>
      </c>
      <c r="D55" s="60">
        <v>5130.2299999999996</v>
      </c>
    </row>
    <row r="56" spans="1:4" x14ac:dyDescent="0.25">
      <c r="A56" s="61" t="s">
        <v>336</v>
      </c>
      <c r="B56" s="61" t="s">
        <v>144</v>
      </c>
      <c r="C56" s="61" t="s">
        <v>337</v>
      </c>
      <c r="D56" s="60">
        <v>800</v>
      </c>
    </row>
    <row r="57" spans="1:4" x14ac:dyDescent="0.25">
      <c r="A57" s="61" t="s">
        <v>338</v>
      </c>
      <c r="B57" s="61" t="s">
        <v>137</v>
      </c>
      <c r="C57" s="61" t="s">
        <v>339</v>
      </c>
      <c r="D57" s="60">
        <v>1928.5</v>
      </c>
    </row>
    <row r="58" spans="1:4" x14ac:dyDescent="0.25">
      <c r="A58" s="61" t="s">
        <v>340</v>
      </c>
      <c r="B58" s="61" t="s">
        <v>129</v>
      </c>
      <c r="C58" s="61" t="s">
        <v>341</v>
      </c>
      <c r="D58" s="60">
        <v>150</v>
      </c>
    </row>
    <row r="59" spans="1:4" x14ac:dyDescent="0.25">
      <c r="A59" s="61" t="s">
        <v>342</v>
      </c>
      <c r="B59" s="61" t="s">
        <v>143</v>
      </c>
      <c r="C59" s="61" t="s">
        <v>230</v>
      </c>
      <c r="D59" s="60">
        <v>4179.5200000000004</v>
      </c>
    </row>
    <row r="60" spans="1:4" x14ac:dyDescent="0.25">
      <c r="A60" s="61" t="s">
        <v>343</v>
      </c>
      <c r="B60" s="61" t="s">
        <v>133</v>
      </c>
      <c r="C60" s="61" t="s">
        <v>230</v>
      </c>
      <c r="D60" s="60">
        <v>1895.51</v>
      </c>
    </row>
    <row r="61" spans="1:4" x14ac:dyDescent="0.25">
      <c r="A61" s="61" t="s">
        <v>344</v>
      </c>
      <c r="B61" s="61" t="s">
        <v>134</v>
      </c>
      <c r="C61" s="61" t="s">
        <v>202</v>
      </c>
      <c r="D61" s="60">
        <v>1121.1600000000001</v>
      </c>
    </row>
    <row r="62" spans="1:4" x14ac:dyDescent="0.25">
      <c r="A62" s="61" t="s">
        <v>345</v>
      </c>
      <c r="B62" s="61" t="s">
        <v>127</v>
      </c>
      <c r="C62" s="61" t="s">
        <v>282</v>
      </c>
      <c r="D62" s="60">
        <v>1731.63</v>
      </c>
    </row>
    <row r="63" spans="1:4" x14ac:dyDescent="0.25">
      <c r="A63" s="61" t="s">
        <v>346</v>
      </c>
      <c r="B63" s="61" t="s">
        <v>144</v>
      </c>
      <c r="C63" s="61" t="s">
        <v>210</v>
      </c>
      <c r="D63" s="60">
        <v>57.68</v>
      </c>
    </row>
    <row r="64" spans="1:4" x14ac:dyDescent="0.25">
      <c r="A64" s="61" t="s">
        <v>347</v>
      </c>
      <c r="B64" s="61" t="s">
        <v>128</v>
      </c>
      <c r="C64" s="61" t="s">
        <v>230</v>
      </c>
      <c r="D64" s="60">
        <v>2015.49</v>
      </c>
    </row>
    <row r="65" spans="1:4" x14ac:dyDescent="0.25">
      <c r="A65" s="61" t="s">
        <v>347</v>
      </c>
      <c r="B65" s="61" t="s">
        <v>128</v>
      </c>
      <c r="C65" s="61" t="s">
        <v>230</v>
      </c>
      <c r="D65" s="60">
        <v>2015.49</v>
      </c>
    </row>
    <row r="66" spans="1:4" x14ac:dyDescent="0.25">
      <c r="A66" s="61" t="s">
        <v>347</v>
      </c>
      <c r="B66" s="61" t="s">
        <v>139</v>
      </c>
      <c r="C66" s="61" t="s">
        <v>348</v>
      </c>
      <c r="D66" s="60">
        <v>230</v>
      </c>
    </row>
    <row r="67" spans="1:4" x14ac:dyDescent="0.25">
      <c r="A67" s="61" t="s">
        <v>349</v>
      </c>
      <c r="B67" s="61" t="s">
        <v>135</v>
      </c>
      <c r="C67" s="61" t="s">
        <v>271</v>
      </c>
      <c r="D67" s="60">
        <v>2304.9499999999998</v>
      </c>
    </row>
    <row r="68" spans="1:4" x14ac:dyDescent="0.25">
      <c r="A68" s="61" t="s">
        <v>350</v>
      </c>
      <c r="B68" s="61" t="s">
        <v>136</v>
      </c>
      <c r="C68" s="61" t="s">
        <v>271</v>
      </c>
      <c r="D68" s="60">
        <v>2981.2</v>
      </c>
    </row>
    <row r="69" spans="1:4" x14ac:dyDescent="0.25">
      <c r="A69" s="61" t="s">
        <v>351</v>
      </c>
      <c r="B69" s="61" t="s">
        <v>137</v>
      </c>
      <c r="C69" s="61" t="s">
        <v>352</v>
      </c>
      <c r="D69" s="60">
        <v>250</v>
      </c>
    </row>
    <row r="70" spans="1:4" x14ac:dyDescent="0.25">
      <c r="A70" s="61" t="s">
        <v>351</v>
      </c>
      <c r="B70" s="61" t="s">
        <v>137</v>
      </c>
      <c r="C70" s="61" t="s">
        <v>352</v>
      </c>
      <c r="D70" s="60">
        <v>250</v>
      </c>
    </row>
    <row r="71" spans="1:4" x14ac:dyDescent="0.25">
      <c r="A71" s="61" t="s">
        <v>353</v>
      </c>
      <c r="B71" s="61" t="s">
        <v>137</v>
      </c>
      <c r="C71" s="61" t="s">
        <v>354</v>
      </c>
      <c r="D71" s="60">
        <v>1010</v>
      </c>
    </row>
    <row r="72" spans="1:4" x14ac:dyDescent="0.25">
      <c r="A72" s="61" t="s">
        <v>353</v>
      </c>
      <c r="B72" s="61" t="s">
        <v>137</v>
      </c>
      <c r="C72" s="61" t="s">
        <v>354</v>
      </c>
      <c r="D72" s="60">
        <v>1010</v>
      </c>
    </row>
    <row r="73" spans="1:4" x14ac:dyDescent="0.25">
      <c r="A73" s="61" t="s">
        <v>353</v>
      </c>
      <c r="B73" s="61" t="s">
        <v>137</v>
      </c>
      <c r="C73" s="61" t="s">
        <v>354</v>
      </c>
      <c r="D73" s="60">
        <v>1010</v>
      </c>
    </row>
    <row r="74" spans="1:4" x14ac:dyDescent="0.25">
      <c r="A74" s="61" t="s">
        <v>353</v>
      </c>
      <c r="B74" s="61" t="s">
        <v>137</v>
      </c>
      <c r="C74" s="61" t="s">
        <v>354</v>
      </c>
      <c r="D74" s="60">
        <v>1010</v>
      </c>
    </row>
    <row r="75" spans="1:4" x14ac:dyDescent="0.25">
      <c r="A75" s="61" t="s">
        <v>355</v>
      </c>
      <c r="B75" s="61" t="s">
        <v>329</v>
      </c>
      <c r="C75" s="61" t="s">
        <v>230</v>
      </c>
      <c r="D75" s="60">
        <v>243.8</v>
      </c>
    </row>
    <row r="76" spans="1:4" x14ac:dyDescent="0.25">
      <c r="A76" s="61" t="s">
        <v>355</v>
      </c>
      <c r="B76" s="61" t="s">
        <v>329</v>
      </c>
      <c r="C76" s="61" t="s">
        <v>230</v>
      </c>
      <c r="D76" s="60">
        <v>243.8</v>
      </c>
    </row>
    <row r="77" spans="1:4" x14ac:dyDescent="0.25">
      <c r="A77" s="61" t="s">
        <v>356</v>
      </c>
      <c r="B77" s="61" t="s">
        <v>327</v>
      </c>
      <c r="C77" s="61" t="s">
        <v>230</v>
      </c>
      <c r="D77" s="60">
        <v>278.64999999999998</v>
      </c>
    </row>
    <row r="78" spans="1:4" x14ac:dyDescent="0.25">
      <c r="A78" s="61" t="s">
        <v>356</v>
      </c>
      <c r="B78" s="61" t="s">
        <v>327</v>
      </c>
      <c r="C78" s="61" t="s">
        <v>230</v>
      </c>
      <c r="D78" s="60">
        <v>278.64999999999998</v>
      </c>
    </row>
    <row r="79" spans="1:4" x14ac:dyDescent="0.25">
      <c r="A79" s="61" t="s">
        <v>357</v>
      </c>
      <c r="B79" s="61" t="s">
        <v>284</v>
      </c>
      <c r="C79" s="61" t="s">
        <v>230</v>
      </c>
      <c r="D79" s="60">
        <v>106.59</v>
      </c>
    </row>
    <row r="80" spans="1:4" x14ac:dyDescent="0.25">
      <c r="A80" s="61" t="s">
        <v>358</v>
      </c>
      <c r="B80" s="61" t="s">
        <v>132</v>
      </c>
      <c r="C80" s="61" t="s">
        <v>230</v>
      </c>
      <c r="D80" s="60">
        <v>2495.0700000000002</v>
      </c>
    </row>
    <row r="81" spans="1:4" x14ac:dyDescent="0.25">
      <c r="A81" s="61" t="s">
        <v>355</v>
      </c>
      <c r="B81" s="61" t="s">
        <v>329</v>
      </c>
      <c r="C81" s="61" t="s">
        <v>230</v>
      </c>
      <c r="D81" s="60">
        <v>243.8</v>
      </c>
    </row>
    <row r="82" spans="1:4" x14ac:dyDescent="0.25">
      <c r="A82" s="61" t="s">
        <v>356</v>
      </c>
      <c r="B82" s="61" t="s">
        <v>327</v>
      </c>
      <c r="C82" s="61" t="s">
        <v>230</v>
      </c>
      <c r="D82" s="60">
        <v>278.64999999999998</v>
      </c>
    </row>
    <row r="83" spans="1:4" x14ac:dyDescent="0.25">
      <c r="A83" s="61" t="s">
        <v>356</v>
      </c>
      <c r="B83" s="61" t="s">
        <v>327</v>
      </c>
      <c r="C83" s="61" t="s">
        <v>230</v>
      </c>
      <c r="D83" s="60">
        <v>278.64999999999998</v>
      </c>
    </row>
    <row r="84" spans="1:4" x14ac:dyDescent="0.25">
      <c r="A84" s="61" t="s">
        <v>359</v>
      </c>
      <c r="B84" s="61" t="s">
        <v>281</v>
      </c>
      <c r="C84" s="61" t="s">
        <v>230</v>
      </c>
      <c r="D84" s="60">
        <v>2294.79</v>
      </c>
    </row>
    <row r="85" spans="1:4" x14ac:dyDescent="0.25">
      <c r="A85" s="61" t="s">
        <v>359</v>
      </c>
      <c r="B85" s="61" t="s">
        <v>281</v>
      </c>
      <c r="C85" s="61" t="s">
        <v>230</v>
      </c>
      <c r="D85" s="60">
        <v>2294.79</v>
      </c>
    </row>
    <row r="86" spans="1:4" x14ac:dyDescent="0.25">
      <c r="A86" s="61" t="s">
        <v>357</v>
      </c>
      <c r="B86" s="61" t="s">
        <v>144</v>
      </c>
      <c r="C86" s="61" t="s">
        <v>210</v>
      </c>
      <c r="D86" s="60">
        <v>540</v>
      </c>
    </row>
    <row r="87" spans="1:4" x14ac:dyDescent="0.25">
      <c r="A87" s="61" t="s">
        <v>360</v>
      </c>
      <c r="B87" s="61" t="s">
        <v>132</v>
      </c>
      <c r="C87" s="61" t="s">
        <v>361</v>
      </c>
      <c r="D87" s="60">
        <v>35</v>
      </c>
    </row>
    <row r="88" spans="1:4" x14ac:dyDescent="0.25">
      <c r="A88" s="61" t="s">
        <v>362</v>
      </c>
      <c r="B88" s="61" t="s">
        <v>139</v>
      </c>
      <c r="C88" s="61" t="s">
        <v>305</v>
      </c>
      <c r="D88" s="60">
        <v>249.047</v>
      </c>
    </row>
    <row r="89" spans="1:4" x14ac:dyDescent="0.25">
      <c r="A89" s="61" t="s">
        <v>363</v>
      </c>
      <c r="B89" s="61" t="s">
        <v>142</v>
      </c>
      <c r="C89" s="61" t="s">
        <v>299</v>
      </c>
      <c r="D89" s="60">
        <v>89</v>
      </c>
    </row>
    <row r="90" spans="1:4" x14ac:dyDescent="0.25">
      <c r="A90" s="61" t="s">
        <v>364</v>
      </c>
      <c r="B90" s="61" t="s">
        <v>141</v>
      </c>
      <c r="C90" s="61" t="s">
        <v>230</v>
      </c>
      <c r="D90" s="60">
        <v>194</v>
      </c>
    </row>
    <row r="91" spans="1:4" x14ac:dyDescent="0.25">
      <c r="A91" s="61" t="s">
        <v>365</v>
      </c>
      <c r="B91" s="61" t="s">
        <v>140</v>
      </c>
      <c r="C91" s="61" t="s">
        <v>230</v>
      </c>
      <c r="D91" s="60">
        <v>349.2</v>
      </c>
    </row>
    <row r="92" spans="1:4" x14ac:dyDescent="0.25">
      <c r="A92" s="61" t="s">
        <v>366</v>
      </c>
      <c r="B92" s="61" t="s">
        <v>142</v>
      </c>
      <c r="C92" s="61" t="s">
        <v>230</v>
      </c>
      <c r="D92" s="60">
        <v>349.2</v>
      </c>
    </row>
    <row r="93" spans="1:4" x14ac:dyDescent="0.25">
      <c r="A93" s="61" t="s">
        <v>367</v>
      </c>
      <c r="B93" s="61" t="s">
        <v>141</v>
      </c>
      <c r="C93" s="61" t="s">
        <v>145</v>
      </c>
      <c r="D93" s="60">
        <v>3658.42</v>
      </c>
    </row>
    <row r="94" spans="1:4" x14ac:dyDescent="0.25">
      <c r="A94" s="61" t="s">
        <v>368</v>
      </c>
      <c r="B94" s="61" t="s">
        <v>142</v>
      </c>
      <c r="C94" s="61" t="s">
        <v>145</v>
      </c>
      <c r="D94" s="60">
        <v>1753.15</v>
      </c>
    </row>
    <row r="95" spans="1:4" x14ac:dyDescent="0.25">
      <c r="A95" s="61" t="s">
        <v>365</v>
      </c>
      <c r="B95" s="61" t="s">
        <v>140</v>
      </c>
      <c r="C95" s="61" t="s">
        <v>145</v>
      </c>
      <c r="D95" s="60">
        <v>5276.99</v>
      </c>
    </row>
    <row r="96" spans="1:4" x14ac:dyDescent="0.25">
      <c r="A96" s="61" t="s">
        <v>369</v>
      </c>
      <c r="B96" s="61" t="s">
        <v>131</v>
      </c>
      <c r="C96" s="61" t="s">
        <v>230</v>
      </c>
      <c r="D96" s="60">
        <v>747.9</v>
      </c>
    </row>
    <row r="97" spans="1:4" x14ac:dyDescent="0.25">
      <c r="A97" s="61" t="s">
        <v>370</v>
      </c>
      <c r="B97" s="61" t="s">
        <v>371</v>
      </c>
      <c r="C97" s="61" t="s">
        <v>194</v>
      </c>
      <c r="D97" s="60">
        <v>394.77</v>
      </c>
    </row>
    <row r="98" spans="1:4" x14ac:dyDescent="0.25">
      <c r="A98" s="61" t="s">
        <v>372</v>
      </c>
      <c r="B98" s="61" t="s">
        <v>133</v>
      </c>
      <c r="C98" s="61" t="s">
        <v>230</v>
      </c>
      <c r="D98" s="60">
        <v>1328.52</v>
      </c>
    </row>
    <row r="99" spans="1:4" x14ac:dyDescent="0.25">
      <c r="A99" s="61" t="s">
        <v>373</v>
      </c>
      <c r="B99" s="61" t="s">
        <v>126</v>
      </c>
      <c r="C99" s="61" t="s">
        <v>72</v>
      </c>
      <c r="D99" s="60">
        <v>292.5</v>
      </c>
    </row>
    <row r="100" spans="1:4" x14ac:dyDescent="0.25">
      <c r="A100" s="61" t="s">
        <v>374</v>
      </c>
      <c r="B100" s="61" t="s">
        <v>143</v>
      </c>
      <c r="C100" s="61" t="s">
        <v>230</v>
      </c>
      <c r="D100" s="60">
        <v>4404.46</v>
      </c>
    </row>
    <row r="101" spans="1:4" x14ac:dyDescent="0.25">
      <c r="A101" s="61" t="s">
        <v>375</v>
      </c>
      <c r="B101" s="61" t="s">
        <v>134</v>
      </c>
      <c r="C101" s="61" t="s">
        <v>202</v>
      </c>
      <c r="D101" s="60">
        <v>1733.34</v>
      </c>
    </row>
    <row r="102" spans="1:4" x14ac:dyDescent="0.25">
      <c r="A102" s="61" t="s">
        <v>376</v>
      </c>
      <c r="B102" s="61" t="s">
        <v>128</v>
      </c>
      <c r="C102" s="61" t="s">
        <v>230</v>
      </c>
      <c r="D102" s="60">
        <v>951.89</v>
      </c>
    </row>
    <row r="103" spans="1:4" x14ac:dyDescent="0.25">
      <c r="A103" s="61" t="s">
        <v>377</v>
      </c>
      <c r="B103" s="61" t="s">
        <v>143</v>
      </c>
      <c r="C103" s="61" t="s">
        <v>378</v>
      </c>
      <c r="D103" s="60">
        <v>44</v>
      </c>
    </row>
    <row r="104" spans="1:4" x14ac:dyDescent="0.25">
      <c r="A104" s="61" t="s">
        <v>379</v>
      </c>
      <c r="B104" s="61" t="s">
        <v>127</v>
      </c>
      <c r="C104" s="61" t="s">
        <v>380</v>
      </c>
      <c r="D104" s="60">
        <v>1583</v>
      </c>
    </row>
    <row r="105" spans="1:4" x14ac:dyDescent="0.25">
      <c r="A105" s="61" t="s">
        <v>381</v>
      </c>
      <c r="B105" s="61" t="s">
        <v>144</v>
      </c>
      <c r="C105" s="61" t="s">
        <v>382</v>
      </c>
      <c r="D105" s="60">
        <v>2269</v>
      </c>
    </row>
    <row r="106" spans="1:4" x14ac:dyDescent="0.25">
      <c r="A106" s="61" t="s">
        <v>383</v>
      </c>
      <c r="B106" s="61" t="s">
        <v>82</v>
      </c>
      <c r="C106" s="61" t="s">
        <v>384</v>
      </c>
      <c r="D106" s="60">
        <v>1370.26</v>
      </c>
    </row>
    <row r="107" spans="1:4" x14ac:dyDescent="0.25">
      <c r="A107" s="61" t="s">
        <v>385</v>
      </c>
      <c r="B107" s="61" t="s">
        <v>82</v>
      </c>
      <c r="C107" s="61" t="s">
        <v>384</v>
      </c>
      <c r="D107" s="60">
        <v>319.79000000000002</v>
      </c>
    </row>
    <row r="108" spans="1:4" x14ac:dyDescent="0.25">
      <c r="A108" s="61" t="s">
        <v>386</v>
      </c>
      <c r="B108" s="61" t="s">
        <v>127</v>
      </c>
      <c r="C108" s="61" t="s">
        <v>292</v>
      </c>
      <c r="D108" s="60">
        <v>100</v>
      </c>
    </row>
    <row r="109" spans="1:4" x14ac:dyDescent="0.25">
      <c r="A109" s="61" t="s">
        <v>387</v>
      </c>
      <c r="B109" s="61" t="s">
        <v>388</v>
      </c>
      <c r="C109" s="61" t="s">
        <v>389</v>
      </c>
      <c r="D109" s="60">
        <v>11500</v>
      </c>
    </row>
    <row r="110" spans="1:4" x14ac:dyDescent="0.25">
      <c r="A110" s="61" t="s">
        <v>390</v>
      </c>
      <c r="B110" s="61" t="s">
        <v>139</v>
      </c>
      <c r="C110" s="61" t="s">
        <v>305</v>
      </c>
      <c r="D110" s="60">
        <v>261.25</v>
      </c>
    </row>
    <row r="111" spans="1:4" x14ac:dyDescent="0.25">
      <c r="A111" s="61" t="s">
        <v>391</v>
      </c>
      <c r="B111" s="61" t="s">
        <v>143</v>
      </c>
      <c r="C111" s="61" t="s">
        <v>392</v>
      </c>
      <c r="D111" s="60">
        <v>59</v>
      </c>
    </row>
    <row r="112" spans="1:4" x14ac:dyDescent="0.25">
      <c r="A112" s="61" t="s">
        <v>393</v>
      </c>
      <c r="B112" s="61" t="s">
        <v>394</v>
      </c>
      <c r="C112" s="61" t="s">
        <v>395</v>
      </c>
      <c r="D112" s="60">
        <v>1900</v>
      </c>
    </row>
    <row r="113" spans="1:4" x14ac:dyDescent="0.25">
      <c r="A113" s="61" t="s">
        <v>396</v>
      </c>
      <c r="B113" s="61" t="s">
        <v>82</v>
      </c>
      <c r="C113" s="61" t="s">
        <v>397</v>
      </c>
      <c r="D113" s="60">
        <v>802</v>
      </c>
    </row>
    <row r="114" spans="1:4" x14ac:dyDescent="0.25">
      <c r="A114" s="61" t="s">
        <v>398</v>
      </c>
      <c r="B114" s="61" t="s">
        <v>284</v>
      </c>
      <c r="C114" s="61" t="s">
        <v>230</v>
      </c>
      <c r="D114" s="60">
        <v>116.75</v>
      </c>
    </row>
    <row r="115" spans="1:4" x14ac:dyDescent="0.25">
      <c r="A115" s="61" t="s">
        <v>399</v>
      </c>
      <c r="B115" s="61" t="s">
        <v>281</v>
      </c>
      <c r="C115" s="61" t="s">
        <v>230</v>
      </c>
      <c r="D115" s="60">
        <v>666.52</v>
      </c>
    </row>
    <row r="116" spans="1:4" x14ac:dyDescent="0.25">
      <c r="A116" s="61" t="s">
        <v>400</v>
      </c>
      <c r="B116" s="61" t="s">
        <v>131</v>
      </c>
      <c r="C116" s="61" t="s">
        <v>282</v>
      </c>
      <c r="D116" s="60">
        <v>775.62</v>
      </c>
    </row>
    <row r="117" spans="1:4" x14ac:dyDescent="0.25">
      <c r="A117" s="61" t="s">
        <v>401</v>
      </c>
      <c r="B117" s="61" t="s">
        <v>141</v>
      </c>
      <c r="C117" s="61" t="s">
        <v>145</v>
      </c>
      <c r="D117" s="60">
        <v>4485.9399999999996</v>
      </c>
    </row>
    <row r="118" spans="1:4" x14ac:dyDescent="0.25">
      <c r="A118" s="61" t="s">
        <v>402</v>
      </c>
      <c r="B118" s="61" t="s">
        <v>142</v>
      </c>
      <c r="C118" s="61" t="s">
        <v>282</v>
      </c>
      <c r="D118" s="60">
        <v>656.6</v>
      </c>
    </row>
    <row r="119" spans="1:4" x14ac:dyDescent="0.25">
      <c r="A119" s="61" t="s">
        <v>403</v>
      </c>
      <c r="B119" s="61" t="s">
        <v>140</v>
      </c>
      <c r="C119" s="61" t="s">
        <v>282</v>
      </c>
      <c r="D119" s="60">
        <v>261.88</v>
      </c>
    </row>
    <row r="120" spans="1:4" x14ac:dyDescent="0.25">
      <c r="A120" s="61" t="s">
        <v>404</v>
      </c>
      <c r="B120" s="61" t="s">
        <v>141</v>
      </c>
      <c r="C120" s="61" t="s">
        <v>282</v>
      </c>
      <c r="D120" s="60">
        <v>455.47</v>
      </c>
    </row>
    <row r="121" spans="1:4" x14ac:dyDescent="0.25">
      <c r="A121" s="61" t="s">
        <v>405</v>
      </c>
      <c r="B121" s="61" t="s">
        <v>142</v>
      </c>
      <c r="C121" s="61" t="s">
        <v>145</v>
      </c>
      <c r="D121" s="60">
        <v>2154.7800000000002</v>
      </c>
    </row>
    <row r="122" spans="1:4" x14ac:dyDescent="0.25">
      <c r="A122" s="61" t="s">
        <v>406</v>
      </c>
      <c r="B122" s="61" t="s">
        <v>82</v>
      </c>
      <c r="C122" s="61" t="s">
        <v>384</v>
      </c>
      <c r="D122" s="60">
        <v>226</v>
      </c>
    </row>
    <row r="123" spans="1:4" x14ac:dyDescent="0.25">
      <c r="A123" s="61" t="s">
        <v>407</v>
      </c>
      <c r="B123" s="61" t="s">
        <v>329</v>
      </c>
      <c r="C123" s="61" t="s">
        <v>230</v>
      </c>
      <c r="D123" s="60">
        <v>243.8</v>
      </c>
    </row>
    <row r="124" spans="1:4" x14ac:dyDescent="0.25">
      <c r="A124" s="61" t="s">
        <v>408</v>
      </c>
      <c r="B124" s="61" t="s">
        <v>327</v>
      </c>
      <c r="C124" s="61" t="s">
        <v>230</v>
      </c>
      <c r="D124" s="60">
        <v>278.64999999999998</v>
      </c>
    </row>
    <row r="125" spans="1:4" x14ac:dyDescent="0.25">
      <c r="A125" s="61" t="s">
        <v>409</v>
      </c>
      <c r="B125" s="61" t="s">
        <v>132</v>
      </c>
      <c r="C125" s="61" t="s">
        <v>392</v>
      </c>
      <c r="D125" s="60">
        <v>48</v>
      </c>
    </row>
    <row r="126" spans="1:4" x14ac:dyDescent="0.25">
      <c r="A126" s="61" t="s">
        <v>409</v>
      </c>
      <c r="B126" s="61" t="s">
        <v>144</v>
      </c>
      <c r="C126" s="61" t="s">
        <v>382</v>
      </c>
      <c r="D126" s="60">
        <v>621</v>
      </c>
    </row>
    <row r="127" spans="1:4" x14ac:dyDescent="0.25">
      <c r="A127" s="61" t="s">
        <v>410</v>
      </c>
      <c r="B127" s="61" t="s">
        <v>139</v>
      </c>
      <c r="C127" s="61" t="s">
        <v>411</v>
      </c>
      <c r="D127" s="60">
        <v>213</v>
      </c>
    </row>
    <row r="128" spans="1:4" x14ac:dyDescent="0.25">
      <c r="A128" s="61" t="s">
        <v>412</v>
      </c>
      <c r="B128" s="61" t="s">
        <v>139</v>
      </c>
      <c r="C128" s="61" t="s">
        <v>411</v>
      </c>
      <c r="D128" s="60">
        <v>213</v>
      </c>
    </row>
    <row r="129" spans="1:4" x14ac:dyDescent="0.25">
      <c r="A129" s="61" t="s">
        <v>413</v>
      </c>
      <c r="B129" s="61" t="s">
        <v>143</v>
      </c>
      <c r="C129" s="61" t="s">
        <v>230</v>
      </c>
      <c r="D129" s="60">
        <v>4296.2299999999996</v>
      </c>
    </row>
    <row r="130" spans="1:4" x14ac:dyDescent="0.25">
      <c r="A130" s="61" t="s">
        <v>414</v>
      </c>
      <c r="B130" s="61" t="s">
        <v>127</v>
      </c>
      <c r="C130" s="61" t="s">
        <v>380</v>
      </c>
      <c r="D130" s="60">
        <v>1738.4</v>
      </c>
    </row>
    <row r="131" spans="1:4" x14ac:dyDescent="0.25">
      <c r="A131" s="61" t="s">
        <v>415</v>
      </c>
      <c r="B131" s="61" t="s">
        <v>132</v>
      </c>
      <c r="C131" s="61" t="s">
        <v>230</v>
      </c>
      <c r="D131" s="60">
        <v>2607.98</v>
      </c>
    </row>
    <row r="132" spans="1:4" x14ac:dyDescent="0.25">
      <c r="A132" s="61" t="s">
        <v>416</v>
      </c>
      <c r="B132" s="61" t="s">
        <v>137</v>
      </c>
      <c r="C132" s="61" t="s">
        <v>352</v>
      </c>
      <c r="D132" s="60">
        <v>350</v>
      </c>
    </row>
    <row r="133" spans="1:4" x14ac:dyDescent="0.25">
      <c r="A133" s="61" t="s">
        <v>417</v>
      </c>
      <c r="B133" s="61" t="s">
        <v>139</v>
      </c>
      <c r="C133" s="61" t="s">
        <v>305</v>
      </c>
      <c r="D133" s="60">
        <v>261.25</v>
      </c>
    </row>
    <row r="134" spans="1:4" x14ac:dyDescent="0.25">
      <c r="A134" s="61" t="s">
        <v>418</v>
      </c>
      <c r="B134" s="61" t="s">
        <v>329</v>
      </c>
      <c r="C134" s="61" t="s">
        <v>230</v>
      </c>
      <c r="D134" s="60">
        <v>306.93</v>
      </c>
    </row>
    <row r="135" spans="1:4" x14ac:dyDescent="0.25">
      <c r="A135" s="61" t="s">
        <v>419</v>
      </c>
      <c r="B135" s="61" t="s">
        <v>420</v>
      </c>
      <c r="C135" s="61" t="s">
        <v>421</v>
      </c>
      <c r="D135" s="60">
        <v>739.6</v>
      </c>
    </row>
    <row r="136" spans="1:4" x14ac:dyDescent="0.25">
      <c r="A136" s="61" t="s">
        <v>422</v>
      </c>
      <c r="B136" s="61" t="s">
        <v>144</v>
      </c>
      <c r="C136" s="61" t="s">
        <v>382</v>
      </c>
      <c r="D136" s="60">
        <v>331.8</v>
      </c>
    </row>
    <row r="137" spans="1:4" x14ac:dyDescent="0.25">
      <c r="A137" s="61" t="s">
        <v>423</v>
      </c>
      <c r="B137" s="61" t="s">
        <v>281</v>
      </c>
      <c r="C137" s="61" t="s">
        <v>230</v>
      </c>
      <c r="D137" s="60">
        <v>1717.41</v>
      </c>
    </row>
    <row r="138" spans="1:4" x14ac:dyDescent="0.25">
      <c r="A138" s="61" t="s">
        <v>424</v>
      </c>
      <c r="B138" s="61" t="s">
        <v>284</v>
      </c>
      <c r="C138" s="61" t="s">
        <v>230</v>
      </c>
      <c r="D138" s="60">
        <v>322.85000000000002</v>
      </c>
    </row>
    <row r="139" spans="1:4" x14ac:dyDescent="0.25">
      <c r="A139" s="61" t="s">
        <v>425</v>
      </c>
      <c r="B139" s="61" t="s">
        <v>130</v>
      </c>
      <c r="C139" s="61" t="s">
        <v>230</v>
      </c>
      <c r="D139" s="60">
        <v>782.4</v>
      </c>
    </row>
    <row r="140" spans="1:4" x14ac:dyDescent="0.25">
      <c r="A140" s="61" t="s">
        <v>424</v>
      </c>
      <c r="B140" s="61" t="s">
        <v>284</v>
      </c>
      <c r="C140" s="61" t="s">
        <v>230</v>
      </c>
      <c r="D140" s="60">
        <v>341.65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67"/>
  <sheetViews>
    <sheetView workbookViewId="0"/>
  </sheetViews>
  <sheetFormatPr defaultRowHeight="15" x14ac:dyDescent="0.25"/>
  <sheetData>
    <row r="1" spans="1:1" ht="15.75" x14ac:dyDescent="0.25">
      <c r="A1" s="1"/>
    </row>
    <row r="2" spans="1:1" ht="15.75" x14ac:dyDescent="0.25">
      <c r="A2" s="1" t="s">
        <v>21</v>
      </c>
    </row>
    <row r="3" spans="1:1" x14ac:dyDescent="0.25">
      <c r="A3" s="2" t="s">
        <v>22</v>
      </c>
    </row>
    <row r="4" spans="1:1" ht="15.75" x14ac:dyDescent="0.25">
      <c r="A4" s="1" t="s">
        <v>23</v>
      </c>
    </row>
    <row r="5" spans="1:1" ht="15.75" x14ac:dyDescent="0.25">
      <c r="A5" s="1" t="s">
        <v>24</v>
      </c>
    </row>
    <row r="6" spans="1:1" x14ac:dyDescent="0.25">
      <c r="A6" s="2" t="s">
        <v>25</v>
      </c>
    </row>
    <row r="7" spans="1:1" ht="15.75" x14ac:dyDescent="0.25">
      <c r="A7" s="1"/>
    </row>
    <row r="8" spans="1:1" ht="15.75" x14ac:dyDescent="0.25">
      <c r="A8" s="1"/>
    </row>
    <row r="9" spans="1:1" ht="15.75" x14ac:dyDescent="0.25">
      <c r="A9" s="1"/>
    </row>
    <row r="10" spans="1:1" x14ac:dyDescent="0.25">
      <c r="A10" s="3" t="s">
        <v>26</v>
      </c>
    </row>
    <row r="11" spans="1:1" x14ac:dyDescent="0.25">
      <c r="A11" s="3"/>
    </row>
    <row r="12" spans="1:1" x14ac:dyDescent="0.25">
      <c r="A12" s="3" t="s">
        <v>27</v>
      </c>
    </row>
    <row r="13" spans="1:1" x14ac:dyDescent="0.25">
      <c r="A13" s="3"/>
    </row>
    <row r="14" spans="1:1" x14ac:dyDescent="0.25">
      <c r="A14" s="3" t="s">
        <v>28</v>
      </c>
    </row>
    <row r="15" spans="1:1" x14ac:dyDescent="0.25">
      <c r="A15" s="3"/>
    </row>
    <row r="16" spans="1:1" x14ac:dyDescent="0.25">
      <c r="A16" s="3" t="s">
        <v>29</v>
      </c>
    </row>
    <row r="17" spans="1:1" x14ac:dyDescent="0.25">
      <c r="A17" s="3"/>
    </row>
    <row r="18" spans="1:1" x14ac:dyDescent="0.25">
      <c r="A18" s="3" t="s">
        <v>30</v>
      </c>
    </row>
    <row r="19" spans="1:1" x14ac:dyDescent="0.25">
      <c r="A19" s="3"/>
    </row>
    <row r="20" spans="1:1" x14ac:dyDescent="0.25">
      <c r="A20" s="3" t="s">
        <v>31</v>
      </c>
    </row>
    <row r="21" spans="1:1" x14ac:dyDescent="0.25">
      <c r="A21" s="3"/>
    </row>
    <row r="22" spans="1:1" x14ac:dyDescent="0.25">
      <c r="A22" s="3" t="s">
        <v>32</v>
      </c>
    </row>
    <row r="23" spans="1:1" x14ac:dyDescent="0.25">
      <c r="A23" s="3"/>
    </row>
    <row r="24" spans="1:1" x14ac:dyDescent="0.25">
      <c r="A24" s="3" t="s">
        <v>33</v>
      </c>
    </row>
    <row r="25" spans="1:1" x14ac:dyDescent="0.25">
      <c r="A25" s="3"/>
    </row>
    <row r="26" spans="1:1" x14ac:dyDescent="0.25">
      <c r="A26" s="3" t="s">
        <v>34</v>
      </c>
    </row>
    <row r="27" spans="1:1" x14ac:dyDescent="0.25">
      <c r="A27" s="3"/>
    </row>
    <row r="28" spans="1:1" x14ac:dyDescent="0.25">
      <c r="A28" s="3" t="s">
        <v>35</v>
      </c>
    </row>
    <row r="29" spans="1:1" x14ac:dyDescent="0.25">
      <c r="A29" s="3"/>
    </row>
    <row r="30" spans="1:1" x14ac:dyDescent="0.25">
      <c r="A30" s="3" t="s">
        <v>36</v>
      </c>
    </row>
    <row r="31" spans="1:1" x14ac:dyDescent="0.25">
      <c r="A31" s="3"/>
    </row>
    <row r="32" spans="1:1" x14ac:dyDescent="0.25">
      <c r="A32" s="3" t="s">
        <v>37</v>
      </c>
    </row>
    <row r="33" spans="1:1" x14ac:dyDescent="0.25">
      <c r="A33" s="3"/>
    </row>
    <row r="34" spans="1:1" x14ac:dyDescent="0.25">
      <c r="A34" s="3" t="s">
        <v>38</v>
      </c>
    </row>
    <row r="35" spans="1:1" x14ac:dyDescent="0.25">
      <c r="A35" s="3"/>
    </row>
    <row r="36" spans="1:1" x14ac:dyDescent="0.25">
      <c r="A36" s="3" t="s">
        <v>39</v>
      </c>
    </row>
    <row r="37" spans="1:1" x14ac:dyDescent="0.25">
      <c r="A37" s="3"/>
    </row>
    <row r="38" spans="1:1" x14ac:dyDescent="0.25">
      <c r="A38" s="3" t="s">
        <v>40</v>
      </c>
    </row>
    <row r="39" spans="1:1" x14ac:dyDescent="0.25">
      <c r="A39" s="3"/>
    </row>
    <row r="40" spans="1:1" x14ac:dyDescent="0.25">
      <c r="A40" s="3" t="s">
        <v>41</v>
      </c>
    </row>
    <row r="41" spans="1:1" x14ac:dyDescent="0.25">
      <c r="A41" s="3"/>
    </row>
    <row r="42" spans="1:1" x14ac:dyDescent="0.25">
      <c r="A42" s="3" t="s">
        <v>42</v>
      </c>
    </row>
    <row r="43" spans="1:1" x14ac:dyDescent="0.25">
      <c r="A43" s="3"/>
    </row>
    <row r="44" spans="1:1" x14ac:dyDescent="0.25">
      <c r="A44" s="3" t="s">
        <v>43</v>
      </c>
    </row>
    <row r="45" spans="1:1" x14ac:dyDescent="0.25">
      <c r="A45" s="3"/>
    </row>
    <row r="46" spans="1:1" x14ac:dyDescent="0.25">
      <c r="A46" s="3" t="s">
        <v>44</v>
      </c>
    </row>
    <row r="47" spans="1:1" x14ac:dyDescent="0.25">
      <c r="A47" s="3"/>
    </row>
    <row r="48" spans="1:1" x14ac:dyDescent="0.25">
      <c r="A48" s="3" t="s">
        <v>45</v>
      </c>
    </row>
    <row r="49" spans="1:1" x14ac:dyDescent="0.25">
      <c r="A49" s="3"/>
    </row>
    <row r="50" spans="1:1" x14ac:dyDescent="0.25">
      <c r="A50" s="3" t="s">
        <v>46</v>
      </c>
    </row>
    <row r="51" spans="1:1" x14ac:dyDescent="0.25">
      <c r="A51" s="3"/>
    </row>
    <row r="52" spans="1:1" x14ac:dyDescent="0.25">
      <c r="A52" s="3" t="s">
        <v>47</v>
      </c>
    </row>
    <row r="53" spans="1:1" x14ac:dyDescent="0.25">
      <c r="A53" s="3"/>
    </row>
    <row r="54" spans="1:1" x14ac:dyDescent="0.25">
      <c r="A54" s="3" t="s">
        <v>48</v>
      </c>
    </row>
    <row r="55" spans="1:1" x14ac:dyDescent="0.25">
      <c r="A55" s="3"/>
    </row>
    <row r="56" spans="1:1" x14ac:dyDescent="0.25">
      <c r="A56" s="3" t="s">
        <v>49</v>
      </c>
    </row>
    <row r="57" spans="1:1" x14ac:dyDescent="0.25">
      <c r="A57" s="3"/>
    </row>
    <row r="58" spans="1:1" x14ac:dyDescent="0.25">
      <c r="A58" s="3" t="s">
        <v>50</v>
      </c>
    </row>
    <row r="59" spans="1:1" x14ac:dyDescent="0.25">
      <c r="A59" s="3"/>
    </row>
    <row r="60" spans="1:1" x14ac:dyDescent="0.25">
      <c r="A60" s="3" t="s">
        <v>51</v>
      </c>
    </row>
    <row r="61" spans="1:1" x14ac:dyDescent="0.25">
      <c r="A61" s="3"/>
    </row>
    <row r="62" spans="1:1" x14ac:dyDescent="0.25">
      <c r="A62" s="3" t="s">
        <v>52</v>
      </c>
    </row>
    <row r="63" spans="1:1" x14ac:dyDescent="0.25">
      <c r="A63" s="3"/>
    </row>
    <row r="64" spans="1:1" x14ac:dyDescent="0.25">
      <c r="A64" s="3" t="s">
        <v>53</v>
      </c>
    </row>
    <row r="65" spans="1:1" x14ac:dyDescent="0.25">
      <c r="A65" s="3"/>
    </row>
    <row r="66" spans="1:1" x14ac:dyDescent="0.25">
      <c r="A66" s="3" t="s">
        <v>54</v>
      </c>
    </row>
    <row r="67" spans="1:1" x14ac:dyDescent="0.25">
      <c r="A67" s="3"/>
    </row>
  </sheetData>
  <hyperlinks>
    <hyperlink ref="A3" r:id="rId1" display="mailto:rodrigocruzjcm@gmail.com" xr:uid="{00000000-0004-0000-0100-000000000000}"/>
    <hyperlink ref="A6" r:id="rId2" display="mailto:compras@gestservi.com.br" xr:uid="{00000000-0004-0000-0100-000001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E02E-8A4D-4139-9E1E-028AEAFB3BDD}">
  <sheetPr codeName="Planilha1">
    <tabColor rgb="FFFF0000"/>
  </sheetPr>
  <dimension ref="A1:B4"/>
  <sheetViews>
    <sheetView workbookViewId="0"/>
  </sheetViews>
  <sheetFormatPr defaultRowHeight="15" x14ac:dyDescent="0.25"/>
  <cols>
    <col min="1" max="1" width="29" bestFit="1" customWidth="1"/>
    <col min="2" max="2" width="25.5703125" bestFit="1" customWidth="1"/>
  </cols>
  <sheetData>
    <row r="1" spans="1:2" x14ac:dyDescent="0.25">
      <c r="A1" t="s">
        <v>236</v>
      </c>
      <c r="B1" s="4" t="s">
        <v>237</v>
      </c>
    </row>
    <row r="2" spans="1:2" x14ac:dyDescent="0.25">
      <c r="A2" t="s">
        <v>238</v>
      </c>
      <c r="B2" s="4" t="s">
        <v>239</v>
      </c>
    </row>
    <row r="4" spans="1:2" x14ac:dyDescent="0.25">
      <c r="A4" s="30" t="str">
        <f>VLOOKUP(O.C!B18,Controle_email_comprador!A1:B2,2,0)</f>
        <v>compras@gestservi.com.br</v>
      </c>
    </row>
  </sheetData>
  <hyperlinks>
    <hyperlink ref="B1" r:id="rId1" xr:uid="{0C495C96-BC3F-4842-AC73-89066997602D}"/>
    <hyperlink ref="B2" r:id="rId2" xr:uid="{EFAF7194-02B6-4D06-BB54-F57AA4909D3F}"/>
  </hyperlink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450488-A105-4C45-8531-B420D43730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O.C</vt:lpstr>
      <vt:lpstr>Historico</vt:lpstr>
      <vt:lpstr>FORNECEDOR</vt:lpstr>
      <vt:lpstr>CONTRATOS</vt:lpstr>
      <vt:lpstr>Resumido_MM</vt:lpstr>
      <vt:lpstr>PEDIDO</vt:lpstr>
      <vt:lpstr>Controle_email_comprador</vt:lpstr>
      <vt:lpstr>O.C!Area_de_impressao</vt:lpstr>
      <vt:lpstr>CLIENTE_FORNECEDOR</vt:lpstr>
      <vt:lpstr>Contratos_vetorh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Compras Gestservi</dc:creator>
  <cp:lastModifiedBy>Mauro Rodrigues</cp:lastModifiedBy>
  <cp:lastPrinted>2020-05-13T13:26:23Z</cp:lastPrinted>
  <dcterms:created xsi:type="dcterms:W3CDTF">2019-04-16T19:10:35Z</dcterms:created>
  <dcterms:modified xsi:type="dcterms:W3CDTF">2020-05-21T17:25:43Z</dcterms:modified>
</cp:coreProperties>
</file>